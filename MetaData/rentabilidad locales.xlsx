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havannacsp-my.sharepoint.com/personal/bduran_havanna_com_ar/Documents/Documentos/"/>
    </mc:Choice>
  </mc:AlternateContent>
  <xr:revisionPtr revIDLastSave="146" documentId="14_{10E02F0F-6792-45B5-9F80-9FCB94BAB804}" xr6:coauthVersionLast="47" xr6:coauthVersionMax="47" xr10:uidLastSave="{3CD741FA-47C7-494D-B779-340BDF4DA5DD}"/>
  <bookViews>
    <workbookView xWindow="-108" yWindow="-108" windowWidth="23256" windowHeight="13896" firstSheet="6" activeTab="6" xr2:uid="{00000000-000D-0000-FFFF-FFFF00000000}"/>
  </bookViews>
  <sheets>
    <sheet name="ORIGINAL" sheetId="1" state="hidden" r:id="rId1"/>
    <sheet name="Hoja3" sheetId="5" state="hidden" r:id="rId2"/>
    <sheet name="NOVIEMBRE" sheetId="4" state="hidden" r:id="rId3"/>
    <sheet name="DICIEMBRE" sheetId="3" state="hidden" r:id="rId4"/>
    <sheet name="ENERO" sheetId="2" state="hidden" r:id="rId5"/>
    <sheet name="SAN MARTIN" sheetId="6" state="hidden" r:id="rId6"/>
    <sheet name="EJEMPLO 1" sheetId="8" r:id="rId7"/>
    <sheet name="EJEMPLO 2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8" l="1"/>
  <c r="G11" i="8" s="1"/>
  <c r="H8" i="8"/>
  <c r="H7" i="8"/>
  <c r="G6" i="8"/>
  <c r="C10" i="8"/>
  <c r="C11" i="8" s="1"/>
  <c r="G13" i="8" l="1"/>
  <c r="H13" i="8" s="1"/>
  <c r="C6" i="8"/>
  <c r="C13" i="8" s="1"/>
  <c r="D13" i="8" s="1"/>
  <c r="D8" i="8"/>
  <c r="D7" i="8"/>
  <c r="C6" i="7"/>
  <c r="D8" i="7"/>
  <c r="C13" i="7"/>
  <c r="C11" i="7"/>
  <c r="C7" i="7" s="1"/>
  <c r="D9" i="7"/>
  <c r="K17" i="6"/>
  <c r="H17" i="6"/>
  <c r="B13" i="6"/>
  <c r="K15" i="6"/>
  <c r="K18" i="6" s="1"/>
  <c r="H15" i="6"/>
  <c r="H7" i="6" s="1"/>
  <c r="B11" i="6"/>
  <c r="C10" i="6" s="1"/>
  <c r="K13" i="6"/>
  <c r="C9" i="6"/>
  <c r="C8" i="6"/>
  <c r="B6" i="6"/>
  <c r="K11" i="6"/>
  <c r="H13" i="6"/>
  <c r="D10" i="7" l="1"/>
  <c r="C14" i="7"/>
  <c r="D14" i="7" s="1"/>
  <c r="B7" i="6"/>
  <c r="B14" i="6" s="1"/>
  <c r="C14" i="6" s="1"/>
  <c r="K7" i="6"/>
  <c r="K6" i="6"/>
  <c r="H11" i="6"/>
  <c r="H18" i="6"/>
  <c r="H6" i="6"/>
  <c r="H8" i="6" s="1"/>
  <c r="H9" i="6" s="1"/>
  <c r="K8" i="6" l="1"/>
  <c r="K9" i="6" s="1"/>
  <c r="H3" i="3" l="1"/>
  <c r="B14" i="3"/>
  <c r="H3" i="2" l="1"/>
  <c r="E3" i="2"/>
  <c r="E18" i="2" s="1"/>
  <c r="E18" i="4"/>
  <c r="H17" i="4"/>
  <c r="E17" i="4"/>
  <c r="B17" i="4"/>
  <c r="H15" i="4"/>
  <c r="H7" i="4" s="1"/>
  <c r="H8" i="4" s="1"/>
  <c r="H9" i="4" s="1"/>
  <c r="E15" i="4"/>
  <c r="E7" i="4" s="1"/>
  <c r="E8" i="4" s="1"/>
  <c r="E9" i="4" s="1"/>
  <c r="B15" i="4"/>
  <c r="B7" i="4" s="1"/>
  <c r="H13" i="4"/>
  <c r="E13" i="4"/>
  <c r="H11" i="4"/>
  <c r="E11" i="4"/>
  <c r="H6" i="4"/>
  <c r="E6" i="4"/>
  <c r="H18" i="3"/>
  <c r="E18" i="3"/>
  <c r="H17" i="3"/>
  <c r="E17" i="3"/>
  <c r="B17" i="3"/>
  <c r="H15" i="3"/>
  <c r="H7" i="3" s="1"/>
  <c r="E15" i="3"/>
  <c r="E7" i="3" s="1"/>
  <c r="B15" i="3"/>
  <c r="H13" i="3"/>
  <c r="E13" i="3"/>
  <c r="H11" i="3"/>
  <c r="E11" i="3"/>
  <c r="H6" i="3"/>
  <c r="E6" i="3"/>
  <c r="H17" i="2"/>
  <c r="H15" i="2"/>
  <c r="H18" i="2" s="1"/>
  <c r="H6" i="2"/>
  <c r="H13" i="2"/>
  <c r="E17" i="2"/>
  <c r="E15" i="2"/>
  <c r="H18" i="4" l="1"/>
  <c r="E8" i="3"/>
  <c r="E9" i="3" s="1"/>
  <c r="H8" i="3"/>
  <c r="H9" i="3" s="1"/>
  <c r="H8" i="2"/>
  <c r="H9" i="2" s="1"/>
  <c r="B11" i="4"/>
  <c r="B13" i="4"/>
  <c r="B6" i="4"/>
  <c r="B8" i="4" s="1"/>
  <c r="B9" i="4" s="1"/>
  <c r="B18" i="4"/>
  <c r="B11" i="3"/>
  <c r="B13" i="3"/>
  <c r="B18" i="3"/>
  <c r="B6" i="3"/>
  <c r="B8" i="3" s="1"/>
  <c r="B9" i="3" s="1"/>
  <c r="H11" i="2"/>
  <c r="E11" i="2"/>
  <c r="E13" i="2"/>
  <c r="E6" i="2"/>
  <c r="E8" i="2" s="1"/>
  <c r="E9" i="2" s="1"/>
  <c r="B17" i="2"/>
  <c r="B15" i="2"/>
  <c r="B6" i="2"/>
  <c r="K20" i="1"/>
  <c r="K18" i="1"/>
  <c r="K10" i="1" s="1"/>
  <c r="K16" i="1"/>
  <c r="B20" i="1"/>
  <c r="B18" i="1"/>
  <c r="B10" i="1" s="1"/>
  <c r="B6" i="1"/>
  <c r="K2" i="1"/>
  <c r="U2" i="1" s="1"/>
  <c r="K3" i="1"/>
  <c r="N3" i="1" s="1"/>
  <c r="W3" i="1"/>
  <c r="W2" i="1"/>
  <c r="Y3" i="1"/>
  <c r="O3" i="1"/>
  <c r="U3" i="1"/>
  <c r="S3" i="1"/>
  <c r="Y2" i="1"/>
  <c r="B8" i="2" l="1"/>
  <c r="B9" i="2" s="1"/>
  <c r="B13" i="2"/>
  <c r="B11" i="2"/>
  <c r="B18" i="2"/>
  <c r="N2" i="1"/>
  <c r="Z2" i="1"/>
  <c r="K9" i="1"/>
  <c r="K11" i="1" s="1"/>
  <c r="K12" i="1" s="1"/>
  <c r="B21" i="1"/>
  <c r="B9" i="1"/>
  <c r="B11" i="1" s="1"/>
  <c r="B12" i="1" s="1"/>
  <c r="K21" i="1"/>
  <c r="K14" i="1"/>
  <c r="B14" i="1"/>
  <c r="B16" i="1"/>
  <c r="O2" i="1"/>
  <c r="S2" i="1"/>
  <c r="P2" i="1"/>
  <c r="Q2" i="1" s="1"/>
  <c r="P3" i="1"/>
  <c r="Q3" i="1" s="1"/>
  <c r="Z3" i="1"/>
</calcChain>
</file>

<file path=xl/sharedStrings.xml><?xml version="1.0" encoding="utf-8"?>
<sst xmlns="http://schemas.openxmlformats.org/spreadsheetml/2006/main" count="329" uniqueCount="57">
  <si>
    <t>LOCAL</t>
  </si>
  <si>
    <t>REGIONAL</t>
  </si>
  <si>
    <t>RAZON SOCIAL</t>
  </si>
  <si>
    <t>NOMBRE FANTASIA</t>
  </si>
  <si>
    <t>CENTRALIZADO</t>
  </si>
  <si>
    <t>Prioridad para centralizar</t>
  </si>
  <si>
    <t>NUMERO DE CLIENTE</t>
  </si>
  <si>
    <t>maneja MAXIREST para administracion / stock</t>
  </si>
  <si>
    <t>PUNTAJE GOOGLE</t>
  </si>
  <si>
    <t>DIRECCION ??</t>
  </si>
  <si>
    <t>VENTA</t>
  </si>
  <si>
    <t>MIX CAFÉ</t>
  </si>
  <si>
    <t>MIX PROD</t>
  </si>
  <si>
    <t>RENTABILIDAD TEORICA</t>
  </si>
  <si>
    <t>GASTOS TOTAL</t>
  </si>
  <si>
    <t>EBITDA</t>
  </si>
  <si>
    <t>EBITDA %</t>
  </si>
  <si>
    <t>ALQUILER</t>
  </si>
  <si>
    <t>ALQUILER %</t>
  </si>
  <si>
    <t>GASTOS</t>
  </si>
  <si>
    <t>GASTOS%</t>
  </si>
  <si>
    <t>SUELDOS EN MANO</t>
  </si>
  <si>
    <t>CARGAS</t>
  </si>
  <si>
    <t>CANTIDAD EMPLEADOS</t>
  </si>
  <si>
    <t>SUELDO PROMEDIO EN MANO</t>
  </si>
  <si>
    <t>SUELDOS %</t>
  </si>
  <si>
    <t>OBSERVACIONES</t>
  </si>
  <si>
    <t>QUINTANA</t>
  </si>
  <si>
    <t>si</t>
  </si>
  <si>
    <t>ok</t>
  </si>
  <si>
    <t>UNIDAD</t>
  </si>
  <si>
    <t>RESISTENCIA</t>
  </si>
  <si>
    <t>CORRIENTES</t>
  </si>
  <si>
    <t>CHACO</t>
  </si>
  <si>
    <t>POSADAS</t>
  </si>
  <si>
    <t>CATAMARCA 1</t>
  </si>
  <si>
    <t>ILLIA</t>
  </si>
  <si>
    <t>VALLE VIEJO</t>
  </si>
  <si>
    <t>ENERO</t>
  </si>
  <si>
    <t xml:space="preserve">-  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</si>
  <si>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</si>
  <si>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</si>
  <si>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</si>
  <si>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</si>
  <si>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</si>
  <si>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</si>
  <si>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</si>
  <si>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</si>
  <si>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</si>
  <si>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</si>
  <si>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</si>
  <si>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RENTABILIDAD</t>
  </si>
  <si>
    <t>VENTAS 2025</t>
  </si>
  <si>
    <t>RRHH TOTAL</t>
  </si>
  <si>
    <t>VENTA NETA</t>
  </si>
  <si>
    <t>COMISION DE TARJETAS</t>
  </si>
  <si>
    <t>TRELEW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</si>
</sst>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$-2C0A]\ #,##0.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8" fontId="0" fillId="9" borderId="0" xfId="0" applyNumberFormat="1" applyFill="1"/>
    <xf numFmtId="9" fontId="0" fillId="9" borderId="0" xfId="0" applyNumberFormat="1" applyFill="1"/>
    <xf numFmtId="44" fontId="3" fillId="0" borderId="0" xfId="1" applyFont="1"/>
    <xf numFmtId="9" fontId="3" fillId="10" borderId="0" xfId="2" applyFont="1" applyFill="1"/>
    <xf numFmtId="0" fontId="0" fillId="9" borderId="0" xfId="0" applyFill="1"/>
    <xf numFmtId="44" fontId="3" fillId="10" borderId="0" xfId="1" applyFont="1" applyFill="1"/>
    <xf numFmtId="0" fontId="0" fillId="0" borderId="7" xfId="0" applyBorder="1"/>
    <xf numFmtId="0" fontId="5" fillId="2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8" fontId="0" fillId="9" borderId="7" xfId="0" applyNumberFormat="1" applyFill="1" applyBorder="1" applyAlignment="1">
      <alignment horizontal="center"/>
    </xf>
    <xf numFmtId="9" fontId="0" fillId="9" borderId="7" xfId="0" applyNumberFormat="1" applyFill="1" applyBorder="1" applyAlignment="1">
      <alignment horizontal="center"/>
    </xf>
    <xf numFmtId="44" fontId="3" fillId="0" borderId="7" xfId="1" applyFont="1" applyBorder="1" applyAlignment="1">
      <alignment horizontal="center"/>
    </xf>
    <xf numFmtId="44" fontId="3" fillId="10" borderId="7" xfId="1" applyFont="1" applyFill="1" applyBorder="1" applyAlignment="1">
      <alignment horizontal="center"/>
    </xf>
    <xf numFmtId="9" fontId="3" fillId="10" borderId="7" xfId="2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44" fontId="3" fillId="12" borderId="7" xfId="1" applyFont="1" applyFill="1" applyBorder="1" applyAlignment="1">
      <alignment horizontal="center"/>
    </xf>
    <xf numFmtId="44" fontId="7" fillId="0" borderId="7" xfId="1" applyFont="1" applyBorder="1" applyAlignment="1">
      <alignment horizontal="center"/>
    </xf>
    <xf numFmtId="44" fontId="0" fillId="0" borderId="7" xfId="1" applyFont="1" applyBorder="1"/>
    <xf numFmtId="44" fontId="8" fillId="0" borderId="7" xfId="1" applyFont="1" applyBorder="1" applyAlignment="1">
      <alignment horizontal="center"/>
    </xf>
    <xf numFmtId="44" fontId="8" fillId="0" borderId="7" xfId="1" applyFont="1" applyBorder="1"/>
    <xf numFmtId="44" fontId="8" fillId="9" borderId="0" xfId="1" applyFont="1" applyFill="1" applyAlignment="1">
      <alignment horizontal="center"/>
    </xf>
    <xf numFmtId="44" fontId="8" fillId="9" borderId="0" xfId="1" applyFont="1" applyFill="1"/>
    <xf numFmtId="44" fontId="8" fillId="9" borderId="7" xfId="1" applyFont="1" applyFill="1" applyBorder="1" applyAlignment="1">
      <alignment horizontal="center"/>
    </xf>
    <xf numFmtId="164" fontId="8" fillId="9" borderId="7" xfId="1" applyNumberFormat="1" applyFont="1" applyFill="1" applyBorder="1" applyAlignment="1">
      <alignment horizontal="center"/>
    </xf>
    <xf numFmtId="164" fontId="3" fillId="12" borderId="7" xfId="1" applyNumberFormat="1" applyFont="1" applyFill="1" applyBorder="1" applyAlignment="1">
      <alignment horizontal="center"/>
    </xf>
    <xf numFmtId="164" fontId="8" fillId="9" borderId="0" xfId="1" applyNumberFormat="1" applyFont="1" applyFill="1"/>
    <xf numFmtId="164" fontId="8" fillId="9" borderId="0" xfId="1" applyNumberFormat="1" applyFont="1" applyFill="1" applyAlignment="1">
      <alignment horizontal="center"/>
    </xf>
    <xf numFmtId="164" fontId="0" fillId="9" borderId="7" xfId="0" applyNumberFormat="1" applyFill="1" applyBorder="1" applyAlignment="1">
      <alignment horizontal="center"/>
    </xf>
    <xf numFmtId="1" fontId="0" fillId="9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8" fillId="9" borderId="7" xfId="1" applyNumberFormat="1" applyFont="1" applyFill="1" applyBorder="1"/>
    <xf numFmtId="9" fontId="3" fillId="0" borderId="0" xfId="2" applyFont="1" applyFill="1" applyBorder="1" applyAlignment="1">
      <alignment horizontal="center"/>
    </xf>
    <xf numFmtId="9" fontId="3" fillId="10" borderId="8" xfId="2" applyFont="1" applyFill="1" applyBorder="1" applyAlignment="1">
      <alignment horizontal="center"/>
    </xf>
    <xf numFmtId="165" fontId="10" fillId="13" borderId="7" xfId="0" applyNumberFormat="1" applyFont="1" applyFill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17" fontId="0" fillId="0" borderId="7" xfId="0" applyNumberForma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"/>
  <sheetViews>
    <sheetView zoomScaleNormal="100" workbookViewId="0">
      <selection activeCell="R11" sqref="R11"/>
    </sheetView>
  </sheetViews>
  <sheetFormatPr baseColWidth="10" defaultColWidth="11.44140625" defaultRowHeight="14.4" x14ac:dyDescent="0.3"/>
  <cols>
    <col min="1" max="1" width="31.6640625" customWidth="1"/>
    <col min="2" max="10" width="21.109375" hidden="1" customWidth="1"/>
    <col min="11" max="27" width="21.109375" customWidth="1"/>
  </cols>
  <sheetData>
    <row r="1" spans="1:41" ht="38.25" customHeight="1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8" t="s">
        <v>19</v>
      </c>
      <c r="U1" s="9" t="s">
        <v>20</v>
      </c>
      <c r="V1" s="10" t="s">
        <v>21</v>
      </c>
      <c r="W1" s="11" t="s">
        <v>22</v>
      </c>
      <c r="X1" s="10" t="s">
        <v>23</v>
      </c>
      <c r="Y1" s="11" t="s">
        <v>24</v>
      </c>
      <c r="Z1" s="12" t="s">
        <v>25</v>
      </c>
      <c r="AA1" s="13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" thickTop="1" x14ac:dyDescent="0.3">
      <c r="A2" t="s">
        <v>27</v>
      </c>
      <c r="E2" t="s">
        <v>28</v>
      </c>
      <c r="F2" t="s">
        <v>29</v>
      </c>
      <c r="K2" s="14">
        <f>38897000/1.21</f>
        <v>32146280.991735537</v>
      </c>
      <c r="L2" s="15">
        <v>0.53</v>
      </c>
      <c r="M2" s="15">
        <v>0.47</v>
      </c>
      <c r="N2" s="16">
        <f>IF(K2=0,,(L2*K2)*0.65+(M2*K2)*0.37)</f>
        <v>16664632.066115703</v>
      </c>
      <c r="O2" s="16">
        <f>IF(V2=0,,R2+T2+V2+W2)</f>
        <v>20000000</v>
      </c>
      <c r="P2" s="19">
        <f>IF(O2&gt;0,SUM(N2-O2),)</f>
        <v>-3335367.9338842966</v>
      </c>
      <c r="Q2" s="17">
        <f>IF(K2&gt;0,P2/K2,)</f>
        <v>-0.10375595033035964</v>
      </c>
      <c r="R2" s="14">
        <v>2100000</v>
      </c>
      <c r="S2" s="17">
        <f>IF(K2&gt;0,R2/K2,)</f>
        <v>6.5326374784687766E-2</v>
      </c>
      <c r="T2" s="14">
        <v>5500000</v>
      </c>
      <c r="U2" s="17">
        <f>IF(K2&gt;0,T2/K2,)</f>
        <v>0.1710928863408489</v>
      </c>
      <c r="V2" s="14">
        <v>8000000</v>
      </c>
      <c r="W2" s="16">
        <f>IF(V2=0,,V2*0.55)</f>
        <v>4400000</v>
      </c>
      <c r="X2" s="18">
        <v>10</v>
      </c>
      <c r="Y2" s="16">
        <f>IF(X2&gt;0,V2/X2,)</f>
        <v>800000</v>
      </c>
      <c r="Z2" s="17">
        <f>IF(K2&gt;0,(V2+W2)/K2,)</f>
        <v>0.38573668920482301</v>
      </c>
    </row>
    <row r="3" spans="1:41" x14ac:dyDescent="0.3">
      <c r="A3" t="s">
        <v>30</v>
      </c>
      <c r="E3" t="s">
        <v>28</v>
      </c>
      <c r="F3" t="s">
        <v>29</v>
      </c>
      <c r="K3" s="14">
        <f>60000000/1.21</f>
        <v>49586776.859504133</v>
      </c>
      <c r="L3" s="15">
        <v>0.44</v>
      </c>
      <c r="M3" s="15">
        <v>0.66</v>
      </c>
      <c r="N3" s="16">
        <f>IF(K3=0,,(L3*K3)*0.55+(M3*K3)*0.37)</f>
        <v>24109090.909090914</v>
      </c>
      <c r="O3" s="16">
        <f>IF(V3=0,,R3+T3+V3+W3)</f>
        <v>0</v>
      </c>
      <c r="P3" s="19">
        <f>IF(O3&gt;0,SUM(N3-O3),)</f>
        <v>0</v>
      </c>
      <c r="Q3" s="17">
        <f>IF(K3&gt;0,P3/K3,)</f>
        <v>0</v>
      </c>
      <c r="R3" s="14"/>
      <c r="S3" s="17">
        <f>IF(K3&gt;0,R3/K3,)</f>
        <v>0</v>
      </c>
      <c r="T3" s="14"/>
      <c r="U3" s="17">
        <f>IF(K3&gt;0,T3/K3,)</f>
        <v>0</v>
      </c>
      <c r="V3" s="14"/>
      <c r="W3" s="16">
        <f>IF(V3=0,,V3*0.55)</f>
        <v>0</v>
      </c>
      <c r="X3" s="18"/>
      <c r="Y3" s="16">
        <f>IF(X3&gt;0,V3/X3,)</f>
        <v>0</v>
      </c>
      <c r="Z3" s="17">
        <f>IF(K3&gt;0,(V3+W3)/K3,)</f>
        <v>0</v>
      </c>
    </row>
    <row r="4" spans="1:41" x14ac:dyDescent="0.3">
      <c r="A4" t="s">
        <v>31</v>
      </c>
    </row>
    <row r="5" spans="1:41" x14ac:dyDescent="0.3">
      <c r="A5" s="21" t="s">
        <v>0</v>
      </c>
      <c r="B5" s="23" t="s">
        <v>27</v>
      </c>
      <c r="C5" s="23"/>
      <c r="D5" s="23"/>
      <c r="E5" s="23"/>
      <c r="F5" s="23"/>
      <c r="G5" s="23"/>
      <c r="H5" s="23"/>
      <c r="I5" s="23"/>
      <c r="J5" s="23"/>
      <c r="K5" s="23" t="s">
        <v>27</v>
      </c>
    </row>
    <row r="6" spans="1:41" x14ac:dyDescent="0.3">
      <c r="A6" s="22" t="s">
        <v>10</v>
      </c>
      <c r="B6" s="24">
        <f>38897000/1.21</f>
        <v>32146280.991735537</v>
      </c>
      <c r="C6" s="23"/>
      <c r="D6" s="23"/>
      <c r="E6" s="23"/>
      <c r="F6" s="23"/>
      <c r="G6" s="23"/>
      <c r="H6" s="23"/>
      <c r="I6" s="23"/>
      <c r="J6" s="23"/>
      <c r="K6" s="24">
        <v>50000000</v>
      </c>
    </row>
    <row r="7" spans="1:41" x14ac:dyDescent="0.3">
      <c r="A7" s="22" t="s">
        <v>11</v>
      </c>
      <c r="B7" s="25">
        <v>0.53</v>
      </c>
      <c r="C7" s="23"/>
      <c r="D7" s="23"/>
      <c r="E7" s="23"/>
      <c r="F7" s="23"/>
      <c r="G7" s="23"/>
      <c r="H7" s="23"/>
      <c r="I7" s="23"/>
      <c r="J7" s="23"/>
      <c r="K7" s="25">
        <v>0.53</v>
      </c>
    </row>
    <row r="8" spans="1:41" x14ac:dyDescent="0.3">
      <c r="A8" s="22" t="s">
        <v>12</v>
      </c>
      <c r="B8" s="25">
        <v>0.47</v>
      </c>
      <c r="C8" s="23"/>
      <c r="D8" s="23"/>
      <c r="E8" s="23"/>
      <c r="F8" s="23"/>
      <c r="G8" s="23"/>
      <c r="H8" s="23"/>
      <c r="I8" s="23"/>
      <c r="J8" s="23"/>
      <c r="K8" s="25">
        <v>0.47</v>
      </c>
    </row>
    <row r="9" spans="1:41" x14ac:dyDescent="0.3">
      <c r="A9" s="22" t="s">
        <v>13</v>
      </c>
      <c r="B9" s="26">
        <f>IF(B6=0,,(B7*B6)*0.65+(B8*B6)*0.37)</f>
        <v>16664632.066115703</v>
      </c>
      <c r="C9" s="23"/>
      <c r="D9" s="23"/>
      <c r="E9" s="23"/>
      <c r="F9" s="23"/>
      <c r="G9" s="23"/>
      <c r="H9" s="23"/>
      <c r="I9" s="23"/>
      <c r="J9" s="23"/>
      <c r="K9" s="30">
        <f>IF(K6=0,,(K7*K6)*0.65+(K8*K6)*0.37)</f>
        <v>25920000</v>
      </c>
    </row>
    <row r="10" spans="1:41" x14ac:dyDescent="0.3">
      <c r="A10" s="22" t="s">
        <v>14</v>
      </c>
      <c r="B10" s="26">
        <f>IF(B17=0,,B13+B15+B17+B18)</f>
        <v>20000000</v>
      </c>
      <c r="C10" s="23"/>
      <c r="D10" s="23"/>
      <c r="E10" s="23"/>
      <c r="F10" s="23"/>
      <c r="G10" s="23"/>
      <c r="H10" s="23"/>
      <c r="I10" s="23"/>
      <c r="J10" s="23"/>
      <c r="K10" s="30">
        <f>IF(K17=0,,K13+K15+K17+K18)</f>
        <v>20000000</v>
      </c>
    </row>
    <row r="11" spans="1:41" x14ac:dyDescent="0.3">
      <c r="A11" s="22" t="s">
        <v>15</v>
      </c>
      <c r="B11" s="27">
        <f>IF(B10&gt;0,SUM(B9-B10),)</f>
        <v>-3335367.9338842966</v>
      </c>
      <c r="C11" s="23"/>
      <c r="D11" s="23"/>
      <c r="E11" s="23"/>
      <c r="F11" s="23"/>
      <c r="G11" s="23"/>
      <c r="H11" s="23"/>
      <c r="I11" s="23"/>
      <c r="J11" s="23"/>
      <c r="K11" s="30">
        <f>IF(K10&gt;0,SUM(K9-K10),)</f>
        <v>5920000</v>
      </c>
    </row>
    <row r="12" spans="1:41" x14ac:dyDescent="0.3">
      <c r="A12" s="22" t="s">
        <v>16</v>
      </c>
      <c r="B12" s="28">
        <f>IF(B6&gt;0,B11/B6,)</f>
        <v>-0.10375595033035964</v>
      </c>
      <c r="C12" s="23"/>
      <c r="D12" s="23"/>
      <c r="E12" s="23"/>
      <c r="F12" s="23"/>
      <c r="G12" s="23"/>
      <c r="H12" s="23"/>
      <c r="I12" s="23"/>
      <c r="J12" s="23"/>
      <c r="K12" s="28">
        <f>IF(K6&gt;0,K11/K6,)</f>
        <v>0.11840000000000001</v>
      </c>
    </row>
    <row r="13" spans="1:41" x14ac:dyDescent="0.3">
      <c r="A13" s="22" t="s">
        <v>17</v>
      </c>
      <c r="B13" s="24">
        <v>2100000</v>
      </c>
      <c r="C13" s="23"/>
      <c r="D13" s="23"/>
      <c r="E13" s="23"/>
      <c r="F13" s="23"/>
      <c r="G13" s="23"/>
      <c r="H13" s="23"/>
      <c r="I13" s="23"/>
      <c r="J13" s="23"/>
      <c r="K13" s="24">
        <v>2100000</v>
      </c>
    </row>
    <row r="14" spans="1:41" x14ac:dyDescent="0.3">
      <c r="A14" s="22" t="s">
        <v>18</v>
      </c>
      <c r="B14" s="28">
        <f>IF(B6&gt;0,B13/B6,)</f>
        <v>6.5326374784687766E-2</v>
      </c>
      <c r="C14" s="23"/>
      <c r="D14" s="23"/>
      <c r="E14" s="23"/>
      <c r="F14" s="23"/>
      <c r="G14" s="23"/>
      <c r="H14" s="23"/>
      <c r="I14" s="23"/>
      <c r="J14" s="23"/>
      <c r="K14" s="28">
        <f>IF(K6&gt;0,K13/K6,)</f>
        <v>4.2000000000000003E-2</v>
      </c>
    </row>
    <row r="15" spans="1:41" x14ac:dyDescent="0.3">
      <c r="A15" s="22" t="s">
        <v>19</v>
      </c>
      <c r="B15" s="24">
        <v>5500000</v>
      </c>
      <c r="C15" s="23"/>
      <c r="D15" s="23"/>
      <c r="E15" s="23"/>
      <c r="F15" s="23"/>
      <c r="G15" s="23"/>
      <c r="H15" s="23"/>
      <c r="I15" s="23"/>
      <c r="J15" s="23"/>
      <c r="K15" s="24">
        <v>5500000</v>
      </c>
    </row>
    <row r="16" spans="1:41" x14ac:dyDescent="0.3">
      <c r="A16" s="22" t="s">
        <v>20</v>
      </c>
      <c r="B16" s="28">
        <f>IF(B6&gt;0,B15/B6,)</f>
        <v>0.1710928863408489</v>
      </c>
      <c r="C16" s="23"/>
      <c r="D16" s="23"/>
      <c r="E16" s="23"/>
      <c r="F16" s="23"/>
      <c r="G16" s="23"/>
      <c r="H16" s="23"/>
      <c r="I16" s="23"/>
      <c r="J16" s="23"/>
      <c r="K16" s="28">
        <f>IF(K6&gt;0,K15/K6,)</f>
        <v>0.11</v>
      </c>
    </row>
    <row r="17" spans="1:11" x14ac:dyDescent="0.3">
      <c r="A17" s="22" t="s">
        <v>21</v>
      </c>
      <c r="B17" s="24">
        <v>8000000</v>
      </c>
      <c r="C17" s="23"/>
      <c r="D17" s="23"/>
      <c r="E17" s="23"/>
      <c r="F17" s="23"/>
      <c r="G17" s="23"/>
      <c r="H17" s="23"/>
      <c r="I17" s="23"/>
      <c r="J17" s="23"/>
      <c r="K17" s="24">
        <v>8000000</v>
      </c>
    </row>
    <row r="18" spans="1:11" x14ac:dyDescent="0.3">
      <c r="A18" s="22" t="s">
        <v>22</v>
      </c>
      <c r="B18" s="26">
        <f>IF(B17=0,,B17*0.55)</f>
        <v>4400000</v>
      </c>
      <c r="C18" s="23"/>
      <c r="D18" s="23"/>
      <c r="E18" s="23"/>
      <c r="F18" s="23"/>
      <c r="G18" s="23"/>
      <c r="H18" s="23"/>
      <c r="I18" s="23"/>
      <c r="J18" s="23"/>
      <c r="K18" s="30">
        <f>IF(K17=0,,K17*0.55)</f>
        <v>4400000</v>
      </c>
    </row>
    <row r="19" spans="1:11" ht="20.25" customHeight="1" x14ac:dyDescent="0.3">
      <c r="A19" s="22" t="s">
        <v>23</v>
      </c>
      <c r="B19" s="29">
        <v>10</v>
      </c>
      <c r="C19" s="23"/>
      <c r="D19" s="23"/>
      <c r="E19" s="23"/>
      <c r="F19" s="23"/>
      <c r="G19" s="23"/>
      <c r="H19" s="23"/>
      <c r="I19" s="23"/>
      <c r="J19" s="23"/>
      <c r="K19" s="29">
        <v>10</v>
      </c>
    </row>
    <row r="20" spans="1:11" ht="16.5" customHeight="1" x14ac:dyDescent="0.3">
      <c r="A20" s="22" t="s">
        <v>24</v>
      </c>
      <c r="B20" s="26">
        <f>IF(B19&gt;0,B17/B19,)</f>
        <v>800000</v>
      </c>
      <c r="C20" s="23"/>
      <c r="D20" s="23"/>
      <c r="E20" s="23"/>
      <c r="F20" s="23"/>
      <c r="G20" s="23"/>
      <c r="H20" s="23"/>
      <c r="I20" s="23"/>
      <c r="J20" s="23"/>
      <c r="K20" s="30">
        <f>IF(K19&gt;0,K17/K19,)</f>
        <v>800000</v>
      </c>
    </row>
    <row r="21" spans="1:11" x14ac:dyDescent="0.3">
      <c r="A21" s="22" t="s">
        <v>25</v>
      </c>
      <c r="B21" s="28">
        <f>IF(B6&gt;0,(B17+B18)/B6,)</f>
        <v>0.38573668920482301</v>
      </c>
      <c r="C21" s="23"/>
      <c r="D21" s="23"/>
      <c r="E21" s="23"/>
      <c r="F21" s="23"/>
      <c r="G21" s="23"/>
      <c r="H21" s="23"/>
      <c r="I21" s="23"/>
      <c r="J21" s="23"/>
      <c r="K21" s="28">
        <f>IF(K6&gt;0,(K17+K18)/K6,)</f>
        <v>0.248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AF6F-2F93-4851-B0BD-1CCE427A75ED}">
  <dimension ref="A1:I14"/>
  <sheetViews>
    <sheetView workbookViewId="0">
      <selection activeCell="B3" sqref="B3"/>
    </sheetView>
  </sheetViews>
  <sheetFormatPr baseColWidth="10" defaultColWidth="11.44140625" defaultRowHeight="14.4" x14ac:dyDescent="0.3"/>
  <cols>
    <col min="2" max="4" width="15.5546875" bestFit="1" customWidth="1"/>
    <col min="6" max="9" width="15.5546875" bestFit="1" customWidth="1"/>
  </cols>
  <sheetData>
    <row r="1" spans="1:9" x14ac:dyDescent="0.3">
      <c r="B1" s="23" t="s">
        <v>32</v>
      </c>
      <c r="C1" s="23" t="s">
        <v>33</v>
      </c>
      <c r="D1" s="23" t="s">
        <v>30</v>
      </c>
      <c r="F1" s="23" t="s">
        <v>34</v>
      </c>
      <c r="G1" s="23" t="s">
        <v>35</v>
      </c>
      <c r="H1" s="23" t="s">
        <v>36</v>
      </c>
      <c r="I1" s="23" t="s">
        <v>37</v>
      </c>
    </row>
    <row r="2" spans="1:9" x14ac:dyDescent="0.3">
      <c r="A2" s="23" t="s">
        <v>38</v>
      </c>
      <c r="B2" s="31">
        <v>39203088</v>
      </c>
      <c r="C2" s="31">
        <v>50900826</v>
      </c>
      <c r="D2" s="32"/>
      <c r="F2" s="31">
        <v>34947449</v>
      </c>
      <c r="G2" s="31">
        <v>53282753</v>
      </c>
      <c r="H2" s="31">
        <v>30776683</v>
      </c>
      <c r="I2" s="31" t="s">
        <v>39</v>
      </c>
    </row>
    <row r="3" spans="1:9" x14ac:dyDescent="0.3">
      <c r="A3" s="23" t="s">
        <v>40</v>
      </c>
      <c r="B3" s="31">
        <v>52896678</v>
      </c>
      <c r="C3" s="31">
        <v>45778837</v>
      </c>
      <c r="D3" s="32"/>
      <c r="F3" s="31">
        <v>44864655</v>
      </c>
      <c r="G3" s="31">
        <v>49588885</v>
      </c>
      <c r="H3" s="31">
        <v>34072628</v>
      </c>
      <c r="I3" s="31">
        <v>28059638</v>
      </c>
    </row>
    <row r="4" spans="1:9" x14ac:dyDescent="0.3">
      <c r="A4" s="23" t="s">
        <v>41</v>
      </c>
      <c r="B4" s="33">
        <v>52541991</v>
      </c>
      <c r="C4" s="33">
        <v>55591736</v>
      </c>
      <c r="D4" s="32"/>
      <c r="F4" s="33">
        <v>51123981</v>
      </c>
      <c r="G4" s="33">
        <v>61061578</v>
      </c>
      <c r="H4" s="33">
        <v>35104606</v>
      </c>
      <c r="I4" s="33">
        <v>46726917</v>
      </c>
    </row>
    <row r="5" spans="1:9" x14ac:dyDescent="0.3">
      <c r="A5" s="23" t="s">
        <v>42</v>
      </c>
      <c r="B5" s="33">
        <v>53666942</v>
      </c>
      <c r="C5" s="33">
        <v>53042149</v>
      </c>
      <c r="D5" s="32"/>
      <c r="F5" s="33">
        <v>66419835</v>
      </c>
      <c r="G5" s="33">
        <v>61669156</v>
      </c>
      <c r="H5" s="33">
        <v>40779422</v>
      </c>
      <c r="I5" s="33">
        <v>38202402</v>
      </c>
    </row>
    <row r="6" spans="1:9" x14ac:dyDescent="0.3">
      <c r="A6" s="23" t="s">
        <v>43</v>
      </c>
      <c r="B6" s="33">
        <v>46335765</v>
      </c>
      <c r="C6" s="33">
        <v>56070001</v>
      </c>
      <c r="D6" s="32"/>
      <c r="F6" s="33">
        <v>54440363</v>
      </c>
      <c r="G6" s="33">
        <v>55594790</v>
      </c>
      <c r="H6" s="33">
        <v>41960729</v>
      </c>
      <c r="I6" s="33">
        <v>37719501</v>
      </c>
    </row>
    <row r="7" spans="1:9" x14ac:dyDescent="0.3">
      <c r="A7" s="23" t="s">
        <v>44</v>
      </c>
      <c r="B7" s="33">
        <v>54981818</v>
      </c>
      <c r="C7" s="33">
        <v>63445455</v>
      </c>
      <c r="D7" s="32"/>
      <c r="F7" s="33">
        <v>65116529</v>
      </c>
      <c r="G7" s="33">
        <v>58252022</v>
      </c>
      <c r="H7" s="33">
        <v>44538821</v>
      </c>
      <c r="I7" s="33">
        <v>40306017</v>
      </c>
    </row>
    <row r="8" spans="1:9" x14ac:dyDescent="0.3">
      <c r="A8" s="23" t="s">
        <v>45</v>
      </c>
      <c r="B8" s="33">
        <v>77921488</v>
      </c>
      <c r="C8" s="33">
        <v>78711570</v>
      </c>
      <c r="D8" s="32"/>
      <c r="F8" s="33">
        <v>91876033</v>
      </c>
      <c r="G8" s="33">
        <v>91107839</v>
      </c>
      <c r="H8" s="33">
        <v>60485604</v>
      </c>
      <c r="I8" s="33">
        <v>48102020</v>
      </c>
    </row>
    <row r="9" spans="1:9" x14ac:dyDescent="0.3">
      <c r="A9" s="23" t="s">
        <v>46</v>
      </c>
      <c r="B9" s="33">
        <v>64963636</v>
      </c>
      <c r="C9" s="33">
        <v>69753719</v>
      </c>
      <c r="D9" s="32"/>
      <c r="F9" s="33">
        <v>69608264</v>
      </c>
      <c r="G9" s="33">
        <v>72919975</v>
      </c>
      <c r="H9" s="33">
        <v>49927434</v>
      </c>
      <c r="I9" s="33">
        <v>43492983</v>
      </c>
    </row>
    <row r="10" spans="1:9" x14ac:dyDescent="0.3">
      <c r="A10" s="23" t="s">
        <v>47</v>
      </c>
      <c r="B10" s="33">
        <v>58501653</v>
      </c>
      <c r="C10" s="33">
        <v>57711570</v>
      </c>
      <c r="D10" s="34">
        <v>21428859</v>
      </c>
      <c r="F10" s="33">
        <v>63715702</v>
      </c>
      <c r="G10" s="33">
        <v>72331489</v>
      </c>
      <c r="H10" s="33">
        <v>46817040</v>
      </c>
      <c r="I10" s="33">
        <v>40012141</v>
      </c>
    </row>
    <row r="11" spans="1:9" x14ac:dyDescent="0.3">
      <c r="A11" s="23" t="s">
        <v>48</v>
      </c>
      <c r="B11" s="33">
        <v>54166942</v>
      </c>
      <c r="C11" s="33">
        <v>51544628</v>
      </c>
      <c r="D11" s="34">
        <v>77407438</v>
      </c>
      <c r="F11" s="33">
        <v>65043802</v>
      </c>
      <c r="G11" s="33">
        <v>60994651</v>
      </c>
      <c r="H11" s="33">
        <v>48691895</v>
      </c>
      <c r="I11" s="33">
        <v>45817082</v>
      </c>
    </row>
    <row r="12" spans="1:9" x14ac:dyDescent="0.3">
      <c r="A12" s="23" t="s">
        <v>49</v>
      </c>
      <c r="B12" s="33">
        <v>27049793</v>
      </c>
      <c r="C12" s="33">
        <v>50099639</v>
      </c>
      <c r="D12" s="33">
        <v>64383719</v>
      </c>
      <c r="F12" s="33">
        <v>48621012</v>
      </c>
      <c r="G12" s="33">
        <v>56976355</v>
      </c>
      <c r="H12" s="33">
        <v>44069183</v>
      </c>
      <c r="I12" s="33">
        <v>39549260</v>
      </c>
    </row>
    <row r="13" spans="1:9" x14ac:dyDescent="0.3">
      <c r="A13" s="23" t="s">
        <v>50</v>
      </c>
      <c r="B13" s="33">
        <v>58884298</v>
      </c>
      <c r="C13" s="33">
        <v>76438017</v>
      </c>
      <c r="D13" s="33">
        <v>67134711</v>
      </c>
      <c r="F13" s="33">
        <v>85347934</v>
      </c>
      <c r="G13" s="33">
        <v>80329066</v>
      </c>
      <c r="H13" s="33">
        <v>0</v>
      </c>
      <c r="I13" s="33">
        <v>56232049</v>
      </c>
    </row>
    <row r="14" spans="1:9" x14ac:dyDescent="0.3">
      <c r="A14" s="23" t="s">
        <v>38</v>
      </c>
      <c r="B14" s="20"/>
      <c r="C14" s="20"/>
      <c r="D14" s="20"/>
      <c r="F14" s="20"/>
      <c r="G14" s="20"/>
      <c r="H14" s="20"/>
      <c r="I14" s="20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EC6C-1454-47DD-BDC9-0F4DE560A929}">
  <dimension ref="A2:H18"/>
  <sheetViews>
    <sheetView workbookViewId="0">
      <selection activeCell="J18" sqref="J18"/>
    </sheetView>
  </sheetViews>
  <sheetFormatPr baseColWidth="10" defaultColWidth="11.44140625" defaultRowHeight="14.4" x14ac:dyDescent="0.3"/>
  <cols>
    <col min="1" max="1" width="27.5546875" bestFit="1" customWidth="1"/>
    <col min="2" max="2" width="14.88671875" bestFit="1" customWidth="1"/>
    <col min="4" max="4" width="30.33203125" customWidth="1"/>
    <col min="5" max="5" width="14.88671875" bestFit="1" customWidth="1"/>
    <col min="7" max="7" width="31.5546875" customWidth="1"/>
    <col min="8" max="8" width="14.88671875" bestFit="1" customWidth="1"/>
  </cols>
  <sheetData>
    <row r="2" spans="1:8" x14ac:dyDescent="0.3">
      <c r="A2" s="21" t="s">
        <v>0</v>
      </c>
      <c r="B2" s="23" t="s">
        <v>27</v>
      </c>
      <c r="D2" s="21" t="s">
        <v>0</v>
      </c>
      <c r="E2" s="23" t="s">
        <v>31</v>
      </c>
      <c r="G2" s="21" t="s">
        <v>0</v>
      </c>
      <c r="H2" s="23" t="s">
        <v>30</v>
      </c>
    </row>
    <row r="3" spans="1:8" x14ac:dyDescent="0.3">
      <c r="A3" s="22" t="s">
        <v>10</v>
      </c>
      <c r="B3" s="24">
        <v>27049000</v>
      </c>
      <c r="D3" s="22" t="s">
        <v>10</v>
      </c>
      <c r="E3" s="24">
        <v>50099000</v>
      </c>
      <c r="G3" s="22" t="s">
        <v>10</v>
      </c>
      <c r="H3" s="24">
        <v>64383000</v>
      </c>
    </row>
    <row r="4" spans="1:8" x14ac:dyDescent="0.3">
      <c r="A4" s="22" t="s">
        <v>11</v>
      </c>
      <c r="B4" s="25">
        <v>0.45</v>
      </c>
      <c r="D4" s="22" t="s">
        <v>11</v>
      </c>
      <c r="E4" s="25">
        <v>0.57999999999999996</v>
      </c>
      <c r="G4" s="22" t="s">
        <v>11</v>
      </c>
      <c r="H4" s="25">
        <v>0.7</v>
      </c>
    </row>
    <row r="5" spans="1:8" x14ac:dyDescent="0.3">
      <c r="A5" s="22" t="s">
        <v>12</v>
      </c>
      <c r="B5" s="25">
        <v>0.55000000000000004</v>
      </c>
      <c r="D5" s="22" t="s">
        <v>12</v>
      </c>
      <c r="E5" s="25">
        <v>0.42</v>
      </c>
      <c r="G5" s="22" t="s">
        <v>12</v>
      </c>
      <c r="H5" s="25">
        <v>0.3</v>
      </c>
    </row>
    <row r="6" spans="1:8" x14ac:dyDescent="0.3">
      <c r="A6" s="22" t="s">
        <v>13</v>
      </c>
      <c r="B6" s="30">
        <f>IF(B3=0,,(B4*B3)*0.65+(B5*B3)*0.37)</f>
        <v>13416304</v>
      </c>
      <c r="D6" s="22" t="s">
        <v>13</v>
      </c>
      <c r="E6" s="30">
        <f>IF(E3=0,,(E4*E3)*0.65+(E5*E3)*0.37)</f>
        <v>26672707.600000001</v>
      </c>
      <c r="G6" s="22" t="s">
        <v>13</v>
      </c>
      <c r="H6" s="30">
        <f>IF(H3=0,,(H4*H3)*0.65+(H5*H3)*0.37)</f>
        <v>36440778</v>
      </c>
    </row>
    <row r="7" spans="1:8" x14ac:dyDescent="0.3">
      <c r="A7" s="22" t="s">
        <v>14</v>
      </c>
      <c r="B7" s="30">
        <f>IF(B14=0,,B10+B12+B14+B15)</f>
        <v>18985300</v>
      </c>
      <c r="D7" s="22" t="s">
        <v>14</v>
      </c>
      <c r="E7" s="30">
        <f>IF(E14=0,,E10+E12+E14+E15)</f>
        <v>15406850</v>
      </c>
      <c r="G7" s="22" t="s">
        <v>14</v>
      </c>
      <c r="H7" s="30">
        <f>IF(H14=0,,H10+H12+H14+H15)</f>
        <v>22603950</v>
      </c>
    </row>
    <row r="8" spans="1:8" x14ac:dyDescent="0.3">
      <c r="A8" s="22" t="s">
        <v>15</v>
      </c>
      <c r="B8" s="30">
        <f>IF(B7&gt;0,SUM(B6-B7),)</f>
        <v>-5568996</v>
      </c>
      <c r="D8" s="22" t="s">
        <v>15</v>
      </c>
      <c r="E8" s="30">
        <f>IF(E7&gt;0,SUM(E6-E7),)</f>
        <v>11265857.600000001</v>
      </c>
      <c r="G8" s="22" t="s">
        <v>15</v>
      </c>
      <c r="H8" s="30">
        <f>IF(H7&gt;0,SUM(H6-H7),)</f>
        <v>13836828</v>
      </c>
    </row>
    <row r="9" spans="1:8" x14ac:dyDescent="0.3">
      <c r="A9" s="22" t="s">
        <v>16</v>
      </c>
      <c r="B9" s="28">
        <f>IF(B3&gt;0,B8/B3,)</f>
        <v>-0.20588546711523531</v>
      </c>
      <c r="D9" s="22" t="s">
        <v>16</v>
      </c>
      <c r="E9" s="28">
        <f>IF(E3&gt;0,E8/E3,)</f>
        <v>0.22487190562685885</v>
      </c>
      <c r="G9" s="22" t="s">
        <v>16</v>
      </c>
      <c r="H9" s="28">
        <f>IF(H3&gt;0,H8/H3,)</f>
        <v>0.21491430967802058</v>
      </c>
    </row>
    <row r="10" spans="1:8" x14ac:dyDescent="0.3">
      <c r="A10" s="22" t="s">
        <v>17</v>
      </c>
      <c r="B10" s="24">
        <v>2087000</v>
      </c>
      <c r="D10" s="22" t="s">
        <v>17</v>
      </c>
      <c r="E10" s="24">
        <v>2337000</v>
      </c>
      <c r="G10" s="22" t="s">
        <v>17</v>
      </c>
      <c r="H10" s="24">
        <v>5206000</v>
      </c>
    </row>
    <row r="11" spans="1:8" x14ac:dyDescent="0.3">
      <c r="A11" s="22" t="s">
        <v>18</v>
      </c>
      <c r="B11" s="28">
        <f>IF(B3&gt;0,B10/B3,)</f>
        <v>7.715627195090391E-2</v>
      </c>
      <c r="D11" s="22" t="s">
        <v>18</v>
      </c>
      <c r="E11" s="28">
        <f>IF(E3&gt;0,E10/E3,)</f>
        <v>4.6647637677398754E-2</v>
      </c>
      <c r="G11" s="22" t="s">
        <v>18</v>
      </c>
      <c r="H11" s="28">
        <f>IF(H3&gt;0,H10/H3,)</f>
        <v>8.0859854309367374E-2</v>
      </c>
    </row>
    <row r="12" spans="1:8" x14ac:dyDescent="0.3">
      <c r="A12" s="22" t="s">
        <v>19</v>
      </c>
      <c r="B12" s="24">
        <v>3683000</v>
      </c>
      <c r="D12" s="22" t="s">
        <v>19</v>
      </c>
      <c r="E12" s="24">
        <v>1279000</v>
      </c>
      <c r="G12" s="22" t="s">
        <v>19</v>
      </c>
      <c r="H12" s="24">
        <v>2349000</v>
      </c>
    </row>
    <row r="13" spans="1:8" x14ac:dyDescent="0.3">
      <c r="A13" s="22" t="s">
        <v>20</v>
      </c>
      <c r="B13" s="28">
        <f>IF(B3&gt;0,B12/B3,)</f>
        <v>0.13616030167473844</v>
      </c>
      <c r="D13" s="22" t="s">
        <v>20</v>
      </c>
      <c r="E13" s="28">
        <f>IF(E3&gt;0,E12/E3,)</f>
        <v>2.552945168566239E-2</v>
      </c>
      <c r="G13" s="22" t="s">
        <v>20</v>
      </c>
      <c r="H13" s="28">
        <f>IF(H3&gt;0,H12/H3,)</f>
        <v>3.6484786356646939E-2</v>
      </c>
    </row>
    <row r="14" spans="1:8" x14ac:dyDescent="0.3">
      <c r="A14" s="22" t="s">
        <v>21</v>
      </c>
      <c r="B14" s="24">
        <v>8526000</v>
      </c>
      <c r="D14" s="22" t="s">
        <v>21</v>
      </c>
      <c r="E14" s="24">
        <v>7607000</v>
      </c>
      <c r="G14" s="22" t="s">
        <v>21</v>
      </c>
      <c r="H14" s="24">
        <v>9709000</v>
      </c>
    </row>
    <row r="15" spans="1:8" x14ac:dyDescent="0.3">
      <c r="A15" s="22" t="s">
        <v>22</v>
      </c>
      <c r="B15" s="30">
        <f>IF(B14=0,,B14*0.55)</f>
        <v>4689300</v>
      </c>
      <c r="D15" s="22" t="s">
        <v>22</v>
      </c>
      <c r="E15" s="30">
        <f>IF(E14=0,,E14*0.55)</f>
        <v>4183850.0000000005</v>
      </c>
      <c r="G15" s="22" t="s">
        <v>22</v>
      </c>
      <c r="H15" s="30">
        <f>IF(H14=0,,H14*0.55)</f>
        <v>5339950</v>
      </c>
    </row>
    <row r="16" spans="1:8" x14ac:dyDescent="0.3">
      <c r="A16" s="22" t="s">
        <v>23</v>
      </c>
      <c r="B16" s="29">
        <v>10</v>
      </c>
      <c r="D16" s="22" t="s">
        <v>23</v>
      </c>
      <c r="E16" s="29">
        <v>11</v>
      </c>
      <c r="G16" s="22" t="s">
        <v>23</v>
      </c>
      <c r="H16" s="29">
        <v>12</v>
      </c>
    </row>
    <row r="17" spans="1:8" x14ac:dyDescent="0.3">
      <c r="A17" s="22" t="s">
        <v>24</v>
      </c>
      <c r="B17" s="30">
        <f>IF(B16&gt;0,B14/B16,)</f>
        <v>852600</v>
      </c>
      <c r="D17" s="22" t="s">
        <v>24</v>
      </c>
      <c r="E17" s="30">
        <f>IF(E16&gt;0,E14/E16,)</f>
        <v>691545.45454545459</v>
      </c>
      <c r="G17" s="22" t="s">
        <v>24</v>
      </c>
      <c r="H17" s="30">
        <f>IF(H16&gt;0,H14/H16,)</f>
        <v>809083.33333333337</v>
      </c>
    </row>
    <row r="18" spans="1:8" x14ac:dyDescent="0.3">
      <c r="A18" s="22" t="s">
        <v>25</v>
      </c>
      <c r="B18" s="28">
        <f>IF(B3&gt;0,(B14+B15)/B3,)</f>
        <v>0.48856889348959298</v>
      </c>
      <c r="D18" s="22" t="s">
        <v>25</v>
      </c>
      <c r="E18" s="28">
        <f>IF(E3&gt;0,(E14+E15)/E3,)</f>
        <v>0.23535100501008005</v>
      </c>
      <c r="G18" s="22" t="s">
        <v>25</v>
      </c>
      <c r="H18" s="28">
        <f>IF(H3&gt;0,(H14+H15)/H3,)</f>
        <v>0.23374104965596509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B154-7375-49B0-AF0C-F7AB6C1861E8}">
  <dimension ref="A2:H18"/>
  <sheetViews>
    <sheetView workbookViewId="0">
      <selection activeCell="B5" sqref="B5"/>
    </sheetView>
  </sheetViews>
  <sheetFormatPr baseColWidth="10" defaultColWidth="11.44140625" defaultRowHeight="14.4" x14ac:dyDescent="0.3"/>
  <cols>
    <col min="1" max="1" width="27.5546875" bestFit="1" customWidth="1"/>
    <col min="2" max="2" width="14.88671875" bestFit="1" customWidth="1"/>
    <col min="4" max="4" width="30.33203125" customWidth="1"/>
    <col min="5" max="5" width="14.88671875" bestFit="1" customWidth="1"/>
    <col min="7" max="7" width="31.5546875" customWidth="1"/>
    <col min="8" max="8" width="14.88671875" bestFit="1" customWidth="1"/>
  </cols>
  <sheetData>
    <row r="2" spans="1:8" x14ac:dyDescent="0.3">
      <c r="A2" s="21" t="s">
        <v>0</v>
      </c>
      <c r="B2" s="23" t="s">
        <v>27</v>
      </c>
      <c r="D2" s="21" t="s">
        <v>0</v>
      </c>
      <c r="E2" s="23" t="s">
        <v>31</v>
      </c>
      <c r="G2" s="21" t="s">
        <v>0</v>
      </c>
      <c r="H2" s="23" t="s">
        <v>30</v>
      </c>
    </row>
    <row r="3" spans="1:8" x14ac:dyDescent="0.3">
      <c r="A3" s="22" t="s">
        <v>10</v>
      </c>
      <c r="B3" s="24">
        <v>58884000</v>
      </c>
      <c r="D3" s="22" t="s">
        <v>10</v>
      </c>
      <c r="E3" s="24">
        <v>76438000</v>
      </c>
      <c r="G3" s="22" t="s">
        <v>10</v>
      </c>
      <c r="H3" s="24">
        <f>81233000/1.21</f>
        <v>67134710.743801653</v>
      </c>
    </row>
    <row r="4" spans="1:8" x14ac:dyDescent="0.3">
      <c r="A4" s="22" t="s">
        <v>11</v>
      </c>
      <c r="B4" s="25">
        <v>0.31</v>
      </c>
      <c r="D4" s="22" t="s">
        <v>11</v>
      </c>
      <c r="E4" s="25">
        <v>0.55000000000000004</v>
      </c>
      <c r="G4" s="22" t="s">
        <v>11</v>
      </c>
      <c r="H4" s="25">
        <v>0.65</v>
      </c>
    </row>
    <row r="5" spans="1:8" x14ac:dyDescent="0.3">
      <c r="A5" s="22" t="s">
        <v>12</v>
      </c>
      <c r="B5" s="25">
        <v>0.69</v>
      </c>
      <c r="D5" s="22" t="s">
        <v>12</v>
      </c>
      <c r="E5" s="25">
        <v>0.45</v>
      </c>
      <c r="G5" s="22" t="s">
        <v>12</v>
      </c>
      <c r="H5" s="25">
        <v>0.35</v>
      </c>
    </row>
    <row r="6" spans="1:8" x14ac:dyDescent="0.3">
      <c r="A6" s="22" t="s">
        <v>13</v>
      </c>
      <c r="B6" s="30">
        <f>IF(B3=0,,(B4*B3)*0.65+(B5*B3)*0.37)</f>
        <v>26898211.199999999</v>
      </c>
      <c r="D6" s="22" t="s">
        <v>13</v>
      </c>
      <c r="E6" s="30">
        <f>IF(E3=0,,(E4*E3)*0.65+(E5*E3)*0.37)</f>
        <v>40053512</v>
      </c>
      <c r="G6" s="22" t="s">
        <v>13</v>
      </c>
      <c r="H6" s="30">
        <f>IF(H3=0,,(H4*H3)*0.65+(H5*H3)*0.37)</f>
        <v>37058360.330578513</v>
      </c>
    </row>
    <row r="7" spans="1:8" x14ac:dyDescent="0.3">
      <c r="A7" s="22" t="s">
        <v>14</v>
      </c>
      <c r="B7" s="30">
        <v>28000000</v>
      </c>
      <c r="D7" s="22" t="s">
        <v>14</v>
      </c>
      <c r="E7" s="30">
        <f>IF(E14=0,,E10+E12+E14+E15)</f>
        <v>15703700</v>
      </c>
      <c r="G7" s="22" t="s">
        <v>14</v>
      </c>
      <c r="H7" s="30">
        <f>IF(H14=0,,H10+H12+H14+H15)</f>
        <v>25840400</v>
      </c>
    </row>
    <row r="8" spans="1:8" x14ac:dyDescent="0.3">
      <c r="A8" s="22" t="s">
        <v>15</v>
      </c>
      <c r="B8" s="30">
        <f>IF(B7&gt;0,SUM(B6-B7),)</f>
        <v>-1101788.8000000007</v>
      </c>
      <c r="D8" s="22" t="s">
        <v>15</v>
      </c>
      <c r="E8" s="30">
        <f>IF(E7&gt;0,SUM(E6-E7),)</f>
        <v>24349812</v>
      </c>
      <c r="G8" s="22" t="s">
        <v>15</v>
      </c>
      <c r="H8" s="30">
        <f>IF(H7&gt;0,SUM(H6-H7),)</f>
        <v>11217960.330578513</v>
      </c>
    </row>
    <row r="9" spans="1:8" x14ac:dyDescent="0.3">
      <c r="A9" s="22" t="s">
        <v>16</v>
      </c>
      <c r="B9" s="28">
        <f>IF(B3&gt;0,B8/B3,)</f>
        <v>-1.8711174512601059E-2</v>
      </c>
      <c r="D9" s="22" t="s">
        <v>16</v>
      </c>
      <c r="E9" s="28">
        <f>IF(E3&gt;0,E8/E3,)</f>
        <v>0.31855637248488972</v>
      </c>
      <c r="G9" s="22" t="s">
        <v>16</v>
      </c>
      <c r="H9" s="28">
        <f>IF(H3&gt;0,H8/H3,)</f>
        <v>0.16709627860598528</v>
      </c>
    </row>
    <row r="10" spans="1:8" x14ac:dyDescent="0.3">
      <c r="A10" s="22" t="s">
        <v>17</v>
      </c>
      <c r="B10" s="24">
        <v>2087250</v>
      </c>
      <c r="D10" s="22" t="s">
        <v>17</v>
      </c>
      <c r="E10" s="24">
        <v>2510000</v>
      </c>
      <c r="G10" s="22" t="s">
        <v>17</v>
      </c>
      <c r="H10" s="24">
        <v>4987000</v>
      </c>
    </row>
    <row r="11" spans="1:8" x14ac:dyDescent="0.3">
      <c r="A11" s="22" t="s">
        <v>18</v>
      </c>
      <c r="B11" s="28">
        <f>IF(B3&gt;0,B10/B3,)</f>
        <v>3.5446810678622376E-2</v>
      </c>
      <c r="D11" s="22" t="s">
        <v>18</v>
      </c>
      <c r="E11" s="28">
        <f>IF(E3&gt;0,E10/E3,)</f>
        <v>3.2837070566995474E-2</v>
      </c>
      <c r="G11" s="22" t="s">
        <v>18</v>
      </c>
      <c r="H11" s="28">
        <f>IF(H3&gt;0,H10/H3,)</f>
        <v>7.4283480851378134E-2</v>
      </c>
    </row>
    <row r="12" spans="1:8" x14ac:dyDescent="0.3">
      <c r="A12" s="22" t="s">
        <v>19</v>
      </c>
      <c r="B12" s="24">
        <v>2946000</v>
      </c>
      <c r="D12" s="22" t="s">
        <v>19</v>
      </c>
      <c r="E12" s="24">
        <v>1299000</v>
      </c>
      <c r="G12" s="22" t="s">
        <v>19</v>
      </c>
      <c r="H12" s="24">
        <v>3636000</v>
      </c>
    </row>
    <row r="13" spans="1:8" x14ac:dyDescent="0.3">
      <c r="A13" s="22" t="s">
        <v>20</v>
      </c>
      <c r="B13" s="28">
        <f>IF(B3&gt;0,B12/B3,)</f>
        <v>5.0030568575504385E-2</v>
      </c>
      <c r="D13" s="22" t="s">
        <v>20</v>
      </c>
      <c r="E13" s="28">
        <f>IF(E3&gt;0,E12/E3,)</f>
        <v>1.6994165205787698E-2</v>
      </c>
      <c r="G13" s="22" t="s">
        <v>20</v>
      </c>
      <c r="H13" s="28">
        <f>IF(H3&gt;0,H12/H3,)</f>
        <v>5.4159762658033066E-2</v>
      </c>
    </row>
    <row r="14" spans="1:8" x14ac:dyDescent="0.3">
      <c r="A14" s="22" t="s">
        <v>21</v>
      </c>
      <c r="B14" s="24">
        <f>10834000/1.21</f>
        <v>8953719.0082644634</v>
      </c>
      <c r="D14" s="22" t="s">
        <v>21</v>
      </c>
      <c r="E14" s="24">
        <v>7674000</v>
      </c>
      <c r="G14" s="22" t="s">
        <v>21</v>
      </c>
      <c r="H14" s="24">
        <v>11108000</v>
      </c>
    </row>
    <row r="15" spans="1:8" x14ac:dyDescent="0.3">
      <c r="A15" s="22" t="s">
        <v>22</v>
      </c>
      <c r="B15" s="30">
        <f>IF(B14=0,,B14*0.55)</f>
        <v>4924545.4545454551</v>
      </c>
      <c r="D15" s="22" t="s">
        <v>22</v>
      </c>
      <c r="E15" s="30">
        <f>IF(E14=0,,E14*0.55)</f>
        <v>4220700</v>
      </c>
      <c r="G15" s="22" t="s">
        <v>22</v>
      </c>
      <c r="H15" s="30">
        <f>IF(H14=0,,H14*0.55)</f>
        <v>6109400.0000000009</v>
      </c>
    </row>
    <row r="16" spans="1:8" x14ac:dyDescent="0.3">
      <c r="A16" s="22" t="s">
        <v>23</v>
      </c>
      <c r="B16" s="29">
        <v>10</v>
      </c>
      <c r="D16" s="22" t="s">
        <v>23</v>
      </c>
      <c r="E16" s="29">
        <v>11</v>
      </c>
      <c r="G16" s="22" t="s">
        <v>23</v>
      </c>
      <c r="H16" s="29">
        <v>9</v>
      </c>
    </row>
    <row r="17" spans="1:8" x14ac:dyDescent="0.3">
      <c r="A17" s="22" t="s">
        <v>24</v>
      </c>
      <c r="B17" s="30">
        <f>IF(B16&gt;0,B14/B16,)</f>
        <v>895371.90082644636</v>
      </c>
      <c r="D17" s="22" t="s">
        <v>24</v>
      </c>
      <c r="E17" s="30">
        <f>IF(E16&gt;0,E14/E16,)</f>
        <v>697636.36363636365</v>
      </c>
      <c r="G17" s="22" t="s">
        <v>24</v>
      </c>
      <c r="H17" s="30">
        <f>IF(H16&gt;0,H14/H16,)</f>
        <v>1234222.2222222222</v>
      </c>
    </row>
    <row r="18" spans="1:8" x14ac:dyDescent="0.3">
      <c r="A18" s="22" t="s">
        <v>25</v>
      </c>
      <c r="B18" s="28">
        <f>IF(B3&gt;0,(B14+B15)/B3,)</f>
        <v>0.23568820838954416</v>
      </c>
      <c r="D18" s="22" t="s">
        <v>25</v>
      </c>
      <c r="E18" s="28">
        <f>IF(E3&gt;0,(E14+E15)/E3,)</f>
        <v>0.15561239174232711</v>
      </c>
      <c r="G18" s="22" t="s">
        <v>25</v>
      </c>
      <c r="H18" s="28">
        <f>IF(H3&gt;0,(H14+H15)/H3,)</f>
        <v>0.25646047788460352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9D4E-BE23-49CF-975F-5F1BF54DFCB1}">
  <dimension ref="A2:H18"/>
  <sheetViews>
    <sheetView zoomScale="90" zoomScaleNormal="90" workbookViewId="0">
      <selection activeCell="B3" sqref="B3"/>
    </sheetView>
  </sheetViews>
  <sheetFormatPr baseColWidth="10" defaultColWidth="11.44140625" defaultRowHeight="14.4" x14ac:dyDescent="0.3"/>
  <cols>
    <col min="1" max="1" width="27.5546875" bestFit="1" customWidth="1"/>
    <col min="2" max="2" width="14.88671875" bestFit="1" customWidth="1"/>
    <col min="4" max="4" width="30.33203125" customWidth="1"/>
    <col min="5" max="5" width="14.88671875" bestFit="1" customWidth="1"/>
    <col min="7" max="7" width="31.5546875" customWidth="1"/>
    <col min="8" max="8" width="14.88671875" bestFit="1" customWidth="1"/>
  </cols>
  <sheetData>
    <row r="2" spans="1:8" x14ac:dyDescent="0.3">
      <c r="A2" s="21" t="s">
        <v>0</v>
      </c>
      <c r="B2" s="23" t="s">
        <v>27</v>
      </c>
      <c r="D2" s="21" t="s">
        <v>0</v>
      </c>
      <c r="E2" s="23" t="s">
        <v>31</v>
      </c>
      <c r="G2" s="21" t="s">
        <v>0</v>
      </c>
      <c r="H2" s="23" t="s">
        <v>30</v>
      </c>
    </row>
    <row r="3" spans="1:8" x14ac:dyDescent="0.3">
      <c r="A3" s="22" t="s">
        <v>10</v>
      </c>
      <c r="B3" s="24">
        <v>5000000</v>
      </c>
      <c r="D3" s="22" t="s">
        <v>10</v>
      </c>
      <c r="E3" s="24">
        <f>65763000/1.21</f>
        <v>54349586.776859507</v>
      </c>
      <c r="G3" s="22" t="s">
        <v>10</v>
      </c>
      <c r="H3" s="24">
        <f>83699000/1.21</f>
        <v>69172727.272727281</v>
      </c>
    </row>
    <row r="4" spans="1:8" x14ac:dyDescent="0.3">
      <c r="A4" s="22" t="s">
        <v>11</v>
      </c>
      <c r="B4" s="25">
        <v>0.53</v>
      </c>
      <c r="D4" s="22" t="s">
        <v>11</v>
      </c>
      <c r="E4" s="25">
        <v>0.74</v>
      </c>
      <c r="G4" s="22" t="s">
        <v>11</v>
      </c>
      <c r="H4" s="25">
        <v>0.72</v>
      </c>
    </row>
    <row r="5" spans="1:8" x14ac:dyDescent="0.3">
      <c r="A5" s="22" t="s">
        <v>12</v>
      </c>
      <c r="B5" s="25">
        <v>0.47</v>
      </c>
      <c r="D5" s="22" t="s">
        <v>12</v>
      </c>
      <c r="E5" s="25">
        <v>0.26</v>
      </c>
      <c r="G5" s="22" t="s">
        <v>12</v>
      </c>
      <c r="H5" s="25">
        <v>0.28000000000000003</v>
      </c>
    </row>
    <row r="6" spans="1:8" x14ac:dyDescent="0.3">
      <c r="A6" s="22" t="s">
        <v>13</v>
      </c>
      <c r="B6" s="30">
        <f>IF(B3=0,,(B4*B3)*0.65+(B5*B3)*0.37)</f>
        <v>2592000</v>
      </c>
      <c r="D6" s="22" t="s">
        <v>13</v>
      </c>
      <c r="E6" s="30">
        <f>IF(E3=0,,(E4*E3)*0.65+(E5*E3)*0.37)</f>
        <v>31370581.487603307</v>
      </c>
      <c r="G6" s="22" t="s">
        <v>13</v>
      </c>
      <c r="H6" s="30">
        <f>IF(H3=0,,(H4*H3)*0.65+(H5*H3)*0.37)</f>
        <v>39539130.909090914</v>
      </c>
    </row>
    <row r="7" spans="1:8" x14ac:dyDescent="0.3">
      <c r="A7" s="22" t="s">
        <v>14</v>
      </c>
      <c r="B7" s="30">
        <v>25881000</v>
      </c>
      <c r="D7" s="22" t="s">
        <v>14</v>
      </c>
      <c r="E7" s="30">
        <v>27526433</v>
      </c>
      <c r="G7" s="22" t="s">
        <v>14</v>
      </c>
      <c r="H7" s="30">
        <v>33262386</v>
      </c>
    </row>
    <row r="8" spans="1:8" x14ac:dyDescent="0.3">
      <c r="A8" s="22" t="s">
        <v>15</v>
      </c>
      <c r="B8" s="30">
        <f>IF(B7&gt;0,SUM(B6-B7),)</f>
        <v>-23289000</v>
      </c>
      <c r="D8" s="22" t="s">
        <v>15</v>
      </c>
      <c r="E8" s="30">
        <f>IF(E7&gt;0,SUM(E6-E7),)</f>
        <v>3844148.4876033068</v>
      </c>
      <c r="G8" s="22" t="s">
        <v>15</v>
      </c>
      <c r="H8" s="30">
        <f>IF(H7&gt;0,SUM(H6-H7),)</f>
        <v>6276744.9090909138</v>
      </c>
    </row>
    <row r="9" spans="1:8" x14ac:dyDescent="0.3">
      <c r="A9" s="22" t="s">
        <v>16</v>
      </c>
      <c r="B9" s="28">
        <f>IF(B3&gt;0,B8/B3,)</f>
        <v>-4.6577999999999999</v>
      </c>
      <c r="D9" s="22" t="s">
        <v>16</v>
      </c>
      <c r="E9" s="28">
        <f>IF(E3&gt;0,E8/E3,)</f>
        <v>7.0730040752398776E-2</v>
      </c>
      <c r="G9" s="22" t="s">
        <v>16</v>
      </c>
      <c r="H9" s="28">
        <f>IF(H3&gt;0,H8/H3,)</f>
        <v>9.074016822184261E-2</v>
      </c>
    </row>
    <row r="10" spans="1:8" x14ac:dyDescent="0.3">
      <c r="A10" s="22" t="s">
        <v>17</v>
      </c>
      <c r="B10" s="24">
        <v>2100000</v>
      </c>
      <c r="D10" s="22" t="s">
        <v>17</v>
      </c>
      <c r="E10" s="24">
        <v>2547000</v>
      </c>
      <c r="G10" s="22" t="s">
        <v>17</v>
      </c>
      <c r="H10" s="24">
        <v>5795000</v>
      </c>
    </row>
    <row r="11" spans="1:8" x14ac:dyDescent="0.3">
      <c r="A11" s="22" t="s">
        <v>18</v>
      </c>
      <c r="B11" s="28">
        <f>IF(B3&gt;0,B10/B3,)</f>
        <v>0.42</v>
      </c>
      <c r="D11" s="22" t="s">
        <v>18</v>
      </c>
      <c r="E11" s="28">
        <f>IF(E3&gt;0,E10/E3,)</f>
        <v>4.6863281784590115E-2</v>
      </c>
      <c r="G11" s="22" t="s">
        <v>18</v>
      </c>
      <c r="H11" s="28">
        <f>IF(H3&gt;0,H10/H3,)</f>
        <v>8.3775791825469834E-2</v>
      </c>
    </row>
    <row r="12" spans="1:8" hidden="1" x14ac:dyDescent="0.3">
      <c r="A12" s="22" t="s">
        <v>19</v>
      </c>
      <c r="B12" s="24">
        <v>5500000</v>
      </c>
      <c r="D12" s="22" t="s">
        <v>19</v>
      </c>
      <c r="E12" s="24">
        <v>2037000</v>
      </c>
      <c r="G12" s="22" t="s">
        <v>19</v>
      </c>
      <c r="H12" s="24">
        <v>4982000</v>
      </c>
    </row>
    <row r="13" spans="1:8" hidden="1" x14ac:dyDescent="0.3">
      <c r="A13" s="22" t="s">
        <v>20</v>
      </c>
      <c r="B13" s="28">
        <f>IF(B3&gt;0,B12/B3,)</f>
        <v>1.1000000000000001</v>
      </c>
      <c r="D13" s="22" t="s">
        <v>20</v>
      </c>
      <c r="E13" s="28">
        <f>IF(E3&gt;0,E12/E3,)</f>
        <v>3.7479585785320013E-2</v>
      </c>
      <c r="G13" s="22" t="s">
        <v>20</v>
      </c>
      <c r="H13" s="28">
        <f>IF(H3&gt;0,H12/H3,)</f>
        <v>7.2022604810093302E-2</v>
      </c>
    </row>
    <row r="14" spans="1:8" x14ac:dyDescent="0.3">
      <c r="A14" s="22" t="s">
        <v>21</v>
      </c>
      <c r="B14" s="24">
        <v>8000000</v>
      </c>
      <c r="D14" s="22" t="s">
        <v>21</v>
      </c>
      <c r="E14" s="24">
        <v>8455235</v>
      </c>
      <c r="G14" s="22" t="s">
        <v>21</v>
      </c>
      <c r="H14" s="24">
        <v>8290000</v>
      </c>
    </row>
    <row r="15" spans="1:8" x14ac:dyDescent="0.3">
      <c r="A15" s="22" t="s">
        <v>22</v>
      </c>
      <c r="B15" s="30">
        <f>IF(B14=0,,B14*0.55)</f>
        <v>4400000</v>
      </c>
      <c r="D15" s="22" t="s">
        <v>22</v>
      </c>
      <c r="E15" s="30">
        <f>IF(E14=0,,E14*0.55)</f>
        <v>4650379.25</v>
      </c>
      <c r="G15" s="22" t="s">
        <v>22</v>
      </c>
      <c r="H15" s="30">
        <f>IF(H14=0,,H14*0.55)</f>
        <v>4559500</v>
      </c>
    </row>
    <row r="16" spans="1:8" x14ac:dyDescent="0.3">
      <c r="A16" s="22" t="s">
        <v>23</v>
      </c>
      <c r="B16" s="29">
        <v>10</v>
      </c>
      <c r="D16" s="22" t="s">
        <v>23</v>
      </c>
      <c r="E16" s="29">
        <v>11</v>
      </c>
      <c r="G16" s="22" t="s">
        <v>23</v>
      </c>
      <c r="H16" s="29">
        <v>9</v>
      </c>
    </row>
    <row r="17" spans="1:8" x14ac:dyDescent="0.3">
      <c r="A17" s="22" t="s">
        <v>24</v>
      </c>
      <c r="B17" s="30">
        <f>IF(B16&gt;0,B14/B16,)</f>
        <v>800000</v>
      </c>
      <c r="D17" s="22" t="s">
        <v>24</v>
      </c>
      <c r="E17" s="30">
        <f>IF(E16&gt;0,E14/E16,)</f>
        <v>768657.72727272729</v>
      </c>
      <c r="G17" s="22" t="s">
        <v>24</v>
      </c>
      <c r="H17" s="30">
        <f>IF(H16&gt;0,H14/H16,)</f>
        <v>921111.11111111112</v>
      </c>
    </row>
    <row r="18" spans="1:8" x14ac:dyDescent="0.3">
      <c r="A18" s="22" t="s">
        <v>25</v>
      </c>
      <c r="B18" s="28">
        <f>IF(B3&gt;0,(B14+B15)/B3,)</f>
        <v>2.48</v>
      </c>
      <c r="D18" s="22" t="s">
        <v>25</v>
      </c>
      <c r="E18" s="28">
        <f>IF(E3&gt;0,(E14+E15)/E3,)</f>
        <v>0.24113549020725938</v>
      </c>
      <c r="G18" s="22" t="s">
        <v>25</v>
      </c>
      <c r="H18" s="28">
        <f>IF(H3&gt;0,(H14+H15)/H3,)</f>
        <v>0.18575962675778682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37D8-3BA3-410A-A54A-559A78E33E20}">
  <dimension ref="A2:K18"/>
  <sheetViews>
    <sheetView topLeftCell="C1" zoomScale="110" zoomScaleNormal="110" workbookViewId="0">
      <selection activeCell="K16" sqref="K16"/>
    </sheetView>
  </sheetViews>
  <sheetFormatPr baseColWidth="10" defaultColWidth="11.44140625" defaultRowHeight="14.4" x14ac:dyDescent="0.3"/>
  <cols>
    <col min="1" max="1" width="27.5546875" bestFit="1" customWidth="1"/>
    <col min="2" max="2" width="16.33203125" bestFit="1" customWidth="1"/>
    <col min="7" max="7" width="30.33203125" customWidth="1"/>
    <col min="8" max="8" width="16.33203125" bestFit="1" customWidth="1"/>
    <col min="10" max="10" width="31.5546875" customWidth="1"/>
    <col min="11" max="11" width="16.33203125" bestFit="1" customWidth="1"/>
  </cols>
  <sheetData>
    <row r="2" spans="1:11" x14ac:dyDescent="0.3">
      <c r="A2" s="21" t="s">
        <v>0</v>
      </c>
      <c r="B2" s="23" t="s">
        <v>48</v>
      </c>
      <c r="G2" s="21" t="s">
        <v>0</v>
      </c>
      <c r="H2" s="23" t="s">
        <v>49</v>
      </c>
      <c r="J2" s="21" t="s">
        <v>0</v>
      </c>
      <c r="K2" s="23" t="s">
        <v>50</v>
      </c>
    </row>
    <row r="3" spans="1:11" x14ac:dyDescent="0.3">
      <c r="A3" s="22" t="s">
        <v>10</v>
      </c>
      <c r="B3" s="38">
        <v>53952975</v>
      </c>
      <c r="G3" s="22" t="s">
        <v>10</v>
      </c>
      <c r="H3" s="37">
        <v>59213000</v>
      </c>
      <c r="J3" s="22" t="s">
        <v>10</v>
      </c>
      <c r="K3" s="37">
        <v>87027842</v>
      </c>
    </row>
    <row r="4" spans="1:11" x14ac:dyDescent="0.3">
      <c r="A4" s="22" t="s">
        <v>11</v>
      </c>
      <c r="B4" s="25">
        <v>0.56999999999999995</v>
      </c>
      <c r="G4" s="22" t="s">
        <v>11</v>
      </c>
      <c r="H4" s="25">
        <v>0.68</v>
      </c>
      <c r="J4" s="22" t="s">
        <v>11</v>
      </c>
      <c r="K4" s="25">
        <v>0.48</v>
      </c>
    </row>
    <row r="5" spans="1:11" x14ac:dyDescent="0.3">
      <c r="A5" s="22" t="s">
        <v>12</v>
      </c>
      <c r="B5" s="25">
        <v>0.43</v>
      </c>
      <c r="G5" s="22" t="s">
        <v>12</v>
      </c>
      <c r="H5" s="25">
        <v>0.42</v>
      </c>
      <c r="J5" s="22" t="s">
        <v>12</v>
      </c>
      <c r="K5" s="25">
        <v>0.52</v>
      </c>
    </row>
    <row r="6" spans="1:11" x14ac:dyDescent="0.3">
      <c r="A6" s="22" t="s">
        <v>13</v>
      </c>
      <c r="B6" s="39">
        <f>IF(B3=0,,(B4*B3)*0.65+(B5*B3)*0.37)</f>
        <v>28573495.559999995</v>
      </c>
      <c r="G6" s="22" t="s">
        <v>13</v>
      </c>
      <c r="H6" s="30">
        <f>IF(H3=0,,(H4*H3)*0.65+(H5*H3)*0.37)</f>
        <v>35373846.200000003</v>
      </c>
      <c r="J6" s="22" t="s">
        <v>13</v>
      </c>
      <c r="K6" s="30">
        <f>IF(K3=0,,(K4*K3)*0.65+(K5*K3)*0.37)</f>
        <v>43896843.504799999</v>
      </c>
    </row>
    <row r="7" spans="1:11" x14ac:dyDescent="0.3">
      <c r="A7" s="22" t="s">
        <v>14</v>
      </c>
      <c r="B7" s="39">
        <f>+B8+B9+B10+B11</f>
        <v>32131650.050000001</v>
      </c>
      <c r="G7" s="22" t="s">
        <v>14</v>
      </c>
      <c r="H7" s="30">
        <f>+H10+H12+H14+H15</f>
        <v>34034136.600000001</v>
      </c>
      <c r="J7" s="22" t="s">
        <v>14</v>
      </c>
      <c r="K7" s="30">
        <f>+K10+K12+K14+K15</f>
        <v>28644747</v>
      </c>
    </row>
    <row r="8" spans="1:11" x14ac:dyDescent="0.3">
      <c r="A8" s="22" t="s">
        <v>17</v>
      </c>
      <c r="B8" s="40">
        <v>3722201</v>
      </c>
      <c r="C8" s="28">
        <f>IF(B3&gt;0,B8/B3,)</f>
        <v>6.8989726701817647E-2</v>
      </c>
      <c r="G8" s="22" t="s">
        <v>15</v>
      </c>
      <c r="H8" s="30">
        <f>IF(H7&gt;0,SUM(H6-H7),)</f>
        <v>1339709.6000000015</v>
      </c>
      <c r="J8" s="22" t="s">
        <v>15</v>
      </c>
      <c r="K8" s="30">
        <f>IF(K7&gt;0,SUM(K6-K7),)</f>
        <v>15252096.504799999</v>
      </c>
    </row>
    <row r="9" spans="1:11" x14ac:dyDescent="0.3">
      <c r="A9" s="22" t="s">
        <v>19</v>
      </c>
      <c r="B9" s="41">
        <v>7242043</v>
      </c>
      <c r="C9" s="28">
        <f>IF(B3&gt;0,B9/B3,)</f>
        <v>0.13422879831927712</v>
      </c>
      <c r="G9" s="22" t="s">
        <v>16</v>
      </c>
      <c r="H9" s="28">
        <f>IF(H3&gt;0,H8/H3,)</f>
        <v>2.2625261344637184E-2</v>
      </c>
      <c r="J9" s="22" t="s">
        <v>16</v>
      </c>
      <c r="K9" s="28">
        <f>IF(K3&gt;0,K8/K3,)</f>
        <v>0.17525536833143582</v>
      </c>
    </row>
    <row r="10" spans="1:11" x14ac:dyDescent="0.3">
      <c r="A10" s="22" t="s">
        <v>21</v>
      </c>
      <c r="B10" s="40">
        <v>13656391</v>
      </c>
      <c r="C10" s="28">
        <f>IF(B3&gt;0,(B10+B11)/B3,)</f>
        <v>0.39233065553845736</v>
      </c>
      <c r="G10" s="22" t="s">
        <v>17</v>
      </c>
      <c r="H10" s="36">
        <v>3722201</v>
      </c>
      <c r="J10" s="22" t="s">
        <v>17</v>
      </c>
      <c r="K10" s="36">
        <v>3722201</v>
      </c>
    </row>
    <row r="11" spans="1:11" x14ac:dyDescent="0.3">
      <c r="A11" s="22" t="s">
        <v>22</v>
      </c>
      <c r="B11" s="39">
        <f>IF(B10=0,,B10*0.55)</f>
        <v>7511015.0500000007</v>
      </c>
      <c r="G11" s="22" t="s">
        <v>18</v>
      </c>
      <c r="H11" s="28">
        <f>IF(H3&gt;0,H10/H3,)</f>
        <v>6.2861212909327349E-2</v>
      </c>
      <c r="J11" s="22" t="s">
        <v>18</v>
      </c>
      <c r="K11" s="28">
        <f>IF(K3&gt;0,K10/K3,)</f>
        <v>4.2770232082739681E-2</v>
      </c>
    </row>
    <row r="12" spans="1:11" x14ac:dyDescent="0.3">
      <c r="A12" s="22" t="s">
        <v>23</v>
      </c>
      <c r="B12" s="42">
        <v>19</v>
      </c>
      <c r="G12" s="22" t="s">
        <v>19</v>
      </c>
      <c r="H12" s="35">
        <v>8947678</v>
      </c>
      <c r="J12" s="22" t="s">
        <v>19</v>
      </c>
      <c r="K12" s="35">
        <v>9422546</v>
      </c>
    </row>
    <row r="13" spans="1:11" x14ac:dyDescent="0.3">
      <c r="A13" s="22" t="s">
        <v>24</v>
      </c>
      <c r="B13" s="39">
        <f>IF(B12&gt;0,B10/B12,)</f>
        <v>718757.42105263157</v>
      </c>
      <c r="G13" s="22" t="s">
        <v>20</v>
      </c>
      <c r="H13" s="28">
        <f>IF(H3&gt;0,H12/H3,)</f>
        <v>0.15111002651444785</v>
      </c>
      <c r="J13" s="22" t="s">
        <v>20</v>
      </c>
      <c r="K13" s="28">
        <f>IF(K3&gt;0,K12/K3,)</f>
        <v>0.1082704773950387</v>
      </c>
    </row>
    <row r="14" spans="1:11" x14ac:dyDescent="0.3">
      <c r="A14" s="22" t="s">
        <v>51</v>
      </c>
      <c r="B14" s="39">
        <f>IF(B7&gt;0,SUM(B6-B7),)</f>
        <v>-3558154.4900000058</v>
      </c>
      <c r="C14" s="28">
        <f>IF(B3&gt;0,B14/B3,)</f>
        <v>-6.5949180559552192E-2</v>
      </c>
      <c r="G14" s="22" t="s">
        <v>21</v>
      </c>
      <c r="H14" s="36">
        <v>13783392</v>
      </c>
      <c r="J14" s="22" t="s">
        <v>21</v>
      </c>
      <c r="K14" s="36">
        <v>10000000</v>
      </c>
    </row>
    <row r="15" spans="1:11" x14ac:dyDescent="0.3">
      <c r="G15" s="22" t="s">
        <v>22</v>
      </c>
      <c r="H15" s="30">
        <f>IF(H14=0,,H14*0.55)</f>
        <v>7580865.6000000006</v>
      </c>
      <c r="J15" s="22" t="s">
        <v>22</v>
      </c>
      <c r="K15" s="30">
        <f>IF(K14=0,,K14*0.55)</f>
        <v>5500000</v>
      </c>
    </row>
    <row r="16" spans="1:11" x14ac:dyDescent="0.3">
      <c r="G16" s="22" t="s">
        <v>23</v>
      </c>
      <c r="H16" s="29">
        <v>18</v>
      </c>
      <c r="J16" s="22" t="s">
        <v>23</v>
      </c>
      <c r="K16" s="29">
        <v>10</v>
      </c>
    </row>
    <row r="17" spans="7:11" x14ac:dyDescent="0.3">
      <c r="G17" s="22" t="s">
        <v>24</v>
      </c>
      <c r="H17" s="30">
        <f>IF(H16&gt;0,H14/H16,)</f>
        <v>765744</v>
      </c>
      <c r="J17" s="22" t="s">
        <v>24</v>
      </c>
      <c r="K17" s="30">
        <f>IF(K16&gt;0,K14/K16,)</f>
        <v>1000000</v>
      </c>
    </row>
    <row r="18" spans="7:11" x14ac:dyDescent="0.3">
      <c r="G18" s="22" t="s">
        <v>25</v>
      </c>
      <c r="H18" s="28">
        <f>IF(H3&gt;0,(H14+H15)/H3,)</f>
        <v>0.36080349923158767</v>
      </c>
      <c r="J18" s="22" t="s">
        <v>25</v>
      </c>
      <c r="K18" s="28">
        <f>IF(K3&gt;0,(K14+K15)/K3,)</f>
        <v>0.1781039221907858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1C57-4CD6-45F1-AE43-9393B69EDD00}">
  <dimension ref="B2:H23"/>
  <sheetViews>
    <sheetView tabSelected="1" zoomScaleNormal="100" workbookViewId="0">
      <selection activeCell="G5" sqref="G5"/>
    </sheetView>
  </sheetViews>
  <sheetFormatPr baseColWidth="10" defaultColWidth="11.44140625" defaultRowHeight="14.4" x14ac:dyDescent="0.3"/>
  <cols>
    <col min="1" max="1" width="6.44140625" customWidth="1"/>
    <col min="2" max="2" width="25.5546875" customWidth="1"/>
    <col min="3" max="3" width="13.6640625" bestFit="1" customWidth="1"/>
    <col min="4" max="4" width="13.33203125" style="44" customWidth="1"/>
    <col min="5" max="5" width="4" customWidth="1"/>
    <col min="6" max="6" width="24.33203125" customWidth="1"/>
    <col min="7" max="7" width="15.5546875" customWidth="1"/>
    <col min="8" max="8" width="13.88671875" customWidth="1"/>
    <col min="9" max="9" width="6.44140625" customWidth="1"/>
  </cols>
  <sheetData>
    <row r="2" spans="2:8" x14ac:dyDescent="0.3">
      <c r="B2" s="21" t="s">
        <v>56</v>
      </c>
      <c r="C2" s="50">
        <v>46054</v>
      </c>
      <c r="F2" s="21"/>
      <c r="G2" s="23" t="s">
        <v>52</v>
      </c>
      <c r="H2" s="44"/>
    </row>
    <row r="3" spans="2:8" x14ac:dyDescent="0.3">
      <c r="B3" s="22" t="s">
        <v>54</v>
      </c>
      <c r="C3" s="38">
        <v>36980826</v>
      </c>
      <c r="F3" s="22" t="s">
        <v>10</v>
      </c>
      <c r="G3" s="38">
        <v>80065190</v>
      </c>
      <c r="H3" s="44"/>
    </row>
    <row r="4" spans="2:8" x14ac:dyDescent="0.3">
      <c r="B4" s="22" t="s">
        <v>11</v>
      </c>
      <c r="C4" s="25">
        <v>0.77</v>
      </c>
      <c r="F4" s="22" t="s">
        <v>11</v>
      </c>
      <c r="G4" s="25">
        <v>0.72</v>
      </c>
      <c r="H4" s="44"/>
    </row>
    <row r="5" spans="2:8" x14ac:dyDescent="0.3">
      <c r="B5" s="22" t="s">
        <v>12</v>
      </c>
      <c r="C5" s="25">
        <v>0.23</v>
      </c>
      <c r="F5" s="22" t="s">
        <v>12</v>
      </c>
      <c r="G5" s="25">
        <v>0.28000000000000003</v>
      </c>
      <c r="H5" s="44"/>
    </row>
    <row r="6" spans="2:8" x14ac:dyDescent="0.3">
      <c r="B6" s="22" t="s">
        <v>13</v>
      </c>
      <c r="C6" s="39">
        <f>IF(C3=0,,(C4*C3)*0.65+(C5*C3)*0.37)</f>
        <v>21655971.705600001</v>
      </c>
      <c r="F6" s="22" t="s">
        <v>13</v>
      </c>
      <c r="G6" s="39">
        <f>IF(G3=0,,(G4*G3)*0.65+(G5*G3)*0.37)</f>
        <v>45765262.604000002</v>
      </c>
      <c r="H6" s="44"/>
    </row>
    <row r="7" spans="2:8" x14ac:dyDescent="0.3">
      <c r="B7" s="22" t="s">
        <v>17</v>
      </c>
      <c r="C7" s="45">
        <v>5000000</v>
      </c>
      <c r="D7" s="47">
        <f>IF(C3&gt;0,C7/C3,)</f>
        <v>0.13520520066263528</v>
      </c>
      <c r="F7" s="22" t="s">
        <v>17</v>
      </c>
      <c r="G7" s="45">
        <v>7000000</v>
      </c>
      <c r="H7" s="47">
        <f>IF(G3&gt;0,G7/G3,)</f>
        <v>8.7428756492053533E-2</v>
      </c>
    </row>
    <row r="8" spans="2:8" x14ac:dyDescent="0.3">
      <c r="B8" s="22" t="s">
        <v>19</v>
      </c>
      <c r="C8" s="38">
        <v>5043000</v>
      </c>
      <c r="D8" s="47">
        <f>IF(C3&gt;0,C8/C3,)</f>
        <v>0.13636796538833396</v>
      </c>
      <c r="F8" s="22" t="s">
        <v>19</v>
      </c>
      <c r="G8" s="38">
        <v>8000000</v>
      </c>
      <c r="H8" s="47">
        <f>IF(G3&gt;0,G8/G3,)</f>
        <v>9.9918578848061185E-2</v>
      </c>
    </row>
    <row r="9" spans="2:8" x14ac:dyDescent="0.3">
      <c r="B9" s="22" t="s">
        <v>21</v>
      </c>
      <c r="C9" s="45">
        <v>8076008</v>
      </c>
      <c r="D9" s="46"/>
      <c r="F9" s="22" t="s">
        <v>21</v>
      </c>
      <c r="G9" s="45">
        <v>9000000</v>
      </c>
      <c r="H9" s="46"/>
    </row>
    <row r="10" spans="2:8" x14ac:dyDescent="0.3">
      <c r="B10" s="22" t="s">
        <v>22</v>
      </c>
      <c r="C10" s="39">
        <f>C9*0.47</f>
        <v>3795723.76</v>
      </c>
      <c r="D10" s="46"/>
      <c r="F10" s="22" t="s">
        <v>22</v>
      </c>
      <c r="G10" s="39">
        <f>G9*0.47</f>
        <v>4230000</v>
      </c>
      <c r="H10" s="46"/>
    </row>
    <row r="11" spans="2:8" x14ac:dyDescent="0.3">
      <c r="B11" s="22" t="s">
        <v>53</v>
      </c>
      <c r="C11" s="39">
        <f>SUM(C9+C10)</f>
        <v>11871731.76</v>
      </c>
      <c r="F11" s="22" t="s">
        <v>53</v>
      </c>
      <c r="G11" s="39">
        <f>SUM(G9+G10)</f>
        <v>13230000</v>
      </c>
      <c r="H11" s="44"/>
    </row>
    <row r="12" spans="2:8" x14ac:dyDescent="0.3">
      <c r="B12" s="22" t="s">
        <v>23</v>
      </c>
      <c r="C12" s="43">
        <v>5</v>
      </c>
      <c r="F12" s="22" t="s">
        <v>23</v>
      </c>
      <c r="G12" s="43">
        <v>11</v>
      </c>
      <c r="H12" s="44"/>
    </row>
    <row r="13" spans="2:8" x14ac:dyDescent="0.3">
      <c r="B13" s="22" t="s">
        <v>51</v>
      </c>
      <c r="C13" s="39">
        <f>C6-C7-C8-C11</f>
        <v>-258760.05439999886</v>
      </c>
      <c r="D13" s="28">
        <f>(C13/C3)</f>
        <v>-6.9971410157252537E-3</v>
      </c>
      <c r="F13" s="22" t="s">
        <v>51</v>
      </c>
      <c r="G13" s="39">
        <f>G6-G7-G8-G11</f>
        <v>17535262.604000002</v>
      </c>
      <c r="H13" s="28">
        <f>(G13/G3)</f>
        <v>0.21901231488990411</v>
      </c>
    </row>
    <row r="20" spans="6:8" x14ac:dyDescent="0.3">
      <c r="F20" s="23"/>
      <c r="G20" s="23" t="s">
        <v>54</v>
      </c>
      <c r="H20" s="23" t="s">
        <v>55</v>
      </c>
    </row>
    <row r="21" spans="6:8" x14ac:dyDescent="0.3">
      <c r="F21" s="23" t="s">
        <v>48</v>
      </c>
      <c r="G21" s="49">
        <v>36403388</v>
      </c>
      <c r="H21" s="48">
        <v>3475850</v>
      </c>
    </row>
    <row r="22" spans="6:8" x14ac:dyDescent="0.3">
      <c r="F22" s="23" t="s">
        <v>49</v>
      </c>
      <c r="G22" s="49">
        <v>29251570</v>
      </c>
      <c r="H22" s="48">
        <v>2937200</v>
      </c>
    </row>
    <row r="23" spans="6:8" x14ac:dyDescent="0.3">
      <c r="F23" s="23" t="s">
        <v>50</v>
      </c>
      <c r="G23" s="49">
        <v>48797025</v>
      </c>
      <c r="H23" s="48">
        <v>4740510</v>
      </c>
    </row>
  </sheetData>
  <protectedRanges>
    <protectedRange sqref="C3:C5 C7:C9 C12 G3:G5 G7:G9 G12" name="Rango2"/>
    <protectedRange sqref="C3:C5 C12 C7:C9 G3:G5 G12 G7:G9" name="Rango1"/>
  </protectedRanges>
  <conditionalFormatting sqref="H21:H23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938C-D479-4667-B397-E6AB15A229A4}">
  <dimension ref="B2:D14"/>
  <sheetViews>
    <sheetView workbookViewId="0">
      <selection activeCell="D1" sqref="D1:D1048576"/>
    </sheetView>
  </sheetViews>
  <sheetFormatPr baseColWidth="10" defaultColWidth="11.44140625" defaultRowHeight="14.4" x14ac:dyDescent="0.3"/>
  <cols>
    <col min="2" max="2" width="42.5546875" customWidth="1"/>
    <col min="3" max="3" width="13" bestFit="1" customWidth="1"/>
  </cols>
  <sheetData>
    <row r="2" spans="2:4" x14ac:dyDescent="0.3">
      <c r="B2" s="21" t="s">
        <v>0</v>
      </c>
      <c r="C2" s="23" t="s">
        <v>48</v>
      </c>
    </row>
    <row r="3" spans="2:4" x14ac:dyDescent="0.3">
      <c r="B3" s="22" t="s">
        <v>10</v>
      </c>
      <c r="C3" s="38">
        <v>428620631</v>
      </c>
    </row>
    <row r="4" spans="2:4" x14ac:dyDescent="0.3">
      <c r="B4" s="22" t="s">
        <v>11</v>
      </c>
      <c r="C4" s="25">
        <v>0.7</v>
      </c>
    </row>
    <row r="5" spans="2:4" x14ac:dyDescent="0.3">
      <c r="B5" s="22" t="s">
        <v>12</v>
      </c>
      <c r="C5" s="25">
        <v>0.3</v>
      </c>
    </row>
    <row r="6" spans="2:4" x14ac:dyDescent="0.3">
      <c r="B6" s="22" t="s">
        <v>13</v>
      </c>
      <c r="C6" s="39">
        <f>IF(C3=0,,(C4*C3)*0.65+(C5*C3)*0.37)</f>
        <v>242599277.146</v>
      </c>
    </row>
    <row r="7" spans="2:4" x14ac:dyDescent="0.3">
      <c r="B7" s="22" t="s">
        <v>14</v>
      </c>
      <c r="C7" s="39">
        <f>+C8+C9+C10+C11</f>
        <v>276965742</v>
      </c>
    </row>
    <row r="8" spans="2:4" x14ac:dyDescent="0.3">
      <c r="B8" s="22" t="s">
        <v>17</v>
      </c>
      <c r="C8" s="40">
        <v>44575175</v>
      </c>
      <c r="D8" s="28">
        <f>IF(C3&gt;0,C8/C3,)</f>
        <v>0.10399680224445379</v>
      </c>
    </row>
    <row r="9" spans="2:4" x14ac:dyDescent="0.3">
      <c r="B9" s="22" t="s">
        <v>19</v>
      </c>
      <c r="C9" s="41">
        <v>61512367</v>
      </c>
      <c r="D9" s="28">
        <f>IF(C3&gt;0,C9/C3,)</f>
        <v>0.1435123802988382</v>
      </c>
    </row>
    <row r="10" spans="2:4" x14ac:dyDescent="0.3">
      <c r="B10" s="22" t="s">
        <v>21</v>
      </c>
      <c r="C10" s="40">
        <v>110244000</v>
      </c>
      <c r="D10" s="28">
        <f>IF(C3&gt;0,(C10+C11)/C3,)</f>
        <v>0.39867003042137744</v>
      </c>
    </row>
    <row r="11" spans="2:4" x14ac:dyDescent="0.3">
      <c r="B11" s="22" t="s">
        <v>22</v>
      </c>
      <c r="C11" s="39">
        <f>IF(C10=0,,C10*0.55)</f>
        <v>60634200.000000007</v>
      </c>
    </row>
    <row r="12" spans="2:4" x14ac:dyDescent="0.3">
      <c r="B12" s="22" t="s">
        <v>23</v>
      </c>
      <c r="C12" s="43">
        <v>6</v>
      </c>
    </row>
    <row r="13" spans="2:4" x14ac:dyDescent="0.3">
      <c r="B13" s="22" t="s">
        <v>24</v>
      </c>
      <c r="C13" s="39">
        <f>IF(C12&gt;0,C10/C12,)</f>
        <v>18374000</v>
      </c>
    </row>
    <row r="14" spans="2:4" x14ac:dyDescent="0.3">
      <c r="B14" s="22" t="s">
        <v>51</v>
      </c>
      <c r="C14" s="39">
        <f>IF(C7&gt;0,SUM(C6-C7),)</f>
        <v>-34366464.854000002</v>
      </c>
      <c r="D14" s="28">
        <f>IF(C3&gt;0,C14/C3,)</f>
        <v>-8.0179212964669455E-2</v>
      </c>
    </row>
  </sheetData>
  <sheetProtection algorithmName="SHA-512" hashValue="UOk+usViTbnYfxeEXb5N7VGWB/mG5BA4v4BzwU8HiMGxy8cN8ms5wQfztprYS/qTBlIlUK3rO3ABF9emVMcpbA==" saltValue="mTxy4S/tVUpH9ZHV1/bHDw==" spinCount="100000" sheet="1" objects="1" scenarios="1"/>
  <protectedRanges>
    <protectedRange sqref="C5 C4 C3 C8 C9 C10 C12" name="Rango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ORIGINAL</vt:lpstr>
      <vt:lpstr>Hoja3</vt:lpstr>
      <vt:lpstr>NOVIEMBRE</vt:lpstr>
      <vt:lpstr>DICIEMBRE</vt:lpstr>
      <vt:lpstr>ENERO</vt:lpstr>
      <vt:lpstr>SAN MARTIN</vt:lpstr>
      <vt:lpstr>EJEMPLO 1</vt:lpstr>
      <vt:lpstr>EJEMPLO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Medina</dc:creator>
  <cp:keywords/>
  <dc:description/>
  <cp:lastModifiedBy>Barbara Carolina Duran</cp:lastModifiedBy>
  <cp:revision/>
  <dcterms:created xsi:type="dcterms:W3CDTF">2023-06-13T18:30:38Z</dcterms:created>
  <dcterms:modified xsi:type="dcterms:W3CDTF">2026-04-01T15:58:52Z</dcterms:modified>
  <cp:category/>
  <cp:contentStatus/>
</cp:coreProperties>
</file>